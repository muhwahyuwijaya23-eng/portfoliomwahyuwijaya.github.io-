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49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8FB086A3-C7CC-4A64-AD82-7CBE13DB2860}" xr6:coauthVersionLast="36" xr6:coauthVersionMax="36" xr10:uidLastSave="{00000000-0000-0000-0000-000000000000}"/>
  <bookViews>
    <workbookView xWindow="0" yWindow="0" windowWidth="20490" windowHeight="7545" xr2:uid="{00000000-000D-0000-FFFF-FFFF00000000}"/>
  </bookViews>
  <sheets>
    <sheet name="DASHBOARD" sheetId="1" r:id="rId1"/>
    <sheet name="DATABAYAR" sheetId="2" r:id="rId2"/>
    <sheet name="PEMBAYARAN" sheetId="3" r:id="rId3"/>
    <sheet name="KWITANSI" sheetId="4" r:id="rId4"/>
  </sheets>
  <definedNames>
    <definedName name="_xlnm._FilterDatabase" localSheetId="0" hidden="1">DASHBOARD!$B$6:$J$12</definedName>
    <definedName name="_xlnm._FilterDatabase" localSheetId="1" hidden="1">DATABAYAR!$A$4:$Q$280</definedName>
    <definedName name="_xlnm._FilterDatabase" localSheetId="2" hidden="1">PEMBAYARAN!$A$4:$F$14</definedName>
    <definedName name="_xlnm.Criteria" localSheetId="1">DATABAYAR!$S$4:$S$5</definedName>
    <definedName name="_xlnm.Criteria" localSheetId="2">PEMBAYARAN!$H$4:$I$5</definedName>
    <definedName name="_xlnm.Extract" localSheetId="1">DATABAYAR!$U$4:$AK$4</definedName>
    <definedName name="_xlnm.Extract" localSheetId="2">PEMBAYARAN!$K$4:$P$4</definedName>
    <definedName name="HASILCARIBAYAR">OFFSET(DATABAYAR!$U$5,0,0,COUNTA(DATABAYAR!$U$5:$U$60000),17)</definedName>
    <definedName name="HASILTRANSKRIP">OFFSET(PEMBAYARAN!$K$5,0,0,COUNTA(PEMBAYARAN!$K$5:$K$70000),6)</definedName>
    <definedName name="_xlnm.Print_Area" localSheetId="3">KWITANSI!$B$2:$N$22</definedName>
    <definedName name="TABELPEMBAYARAN">OFFSET(DATABAYAR!$A$5,0,0,COUNTA(DATABAYAR!$A$5:$A$600000),17)</definedName>
    <definedName name="TABLESISWA">OFFSET(DASHBOARD!$B$7,0,0,COUNTA(DASHBOARD!$B$7:$B$9998),9)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4" i="4" l="1"/>
  <c r="R5" i="4"/>
  <c r="R6" i="4"/>
  <c r="R7" i="4"/>
  <c r="R8" i="4"/>
  <c r="R9" i="4"/>
  <c r="R10" i="4"/>
  <c r="R11" i="4"/>
  <c r="R12" i="4"/>
  <c r="R13" i="4"/>
  <c r="R14" i="4"/>
  <c r="R3" i="4"/>
  <c r="C15" i="4" l="1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5" i="2"/>
  <c r="N9" i="1" s="1"/>
  <c r="N15" i="1" l="1"/>
  <c r="N16" i="1"/>
  <c r="N17" i="1"/>
  <c r="M16" i="1"/>
  <c r="M17" i="1"/>
  <c r="M15" i="1"/>
  <c r="O15" i="1" l="1"/>
  <c r="O16" i="1"/>
  <c r="N18" i="1"/>
  <c r="O17" i="1"/>
  <c r="M18" i="1"/>
  <c r="O18" i="1" l="1"/>
  <c r="Q19" i="2" l="1"/>
  <c r="Q20" i="2"/>
  <c r="Q11" i="2"/>
  <c r="Q12" i="2"/>
  <c r="Q21" i="2"/>
  <c r="Q22" i="2"/>
  <c r="Q7" i="2"/>
  <c r="Q13" i="2"/>
  <c r="Q14" i="2"/>
  <c r="Q8" i="2"/>
  <c r="Q15" i="2"/>
  <c r="Q16" i="2"/>
  <c r="Q23" i="2"/>
  <c r="Q17" i="2"/>
  <c r="Q18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4" i="2"/>
  <c r="N11" i="1" l="1"/>
  <c r="O11" i="1"/>
  <c r="Q6" i="2"/>
  <c r="Q10" i="2"/>
  <c r="O10" i="1" s="1"/>
  <c r="Q5" i="2"/>
  <c r="Q9" i="2"/>
  <c r="N10" i="1"/>
  <c r="K18" i="4"/>
  <c r="H7" i="4"/>
  <c r="O9" i="1" l="1"/>
</calcChain>
</file>

<file path=xl/sharedStrings.xml><?xml version="1.0" encoding="utf-8"?>
<sst xmlns="http://schemas.openxmlformats.org/spreadsheetml/2006/main" count="428" uniqueCount="239">
  <si>
    <t>Nama Siswa</t>
  </si>
  <si>
    <t>Jenis Kelamin</t>
  </si>
  <si>
    <t>Kelas</t>
  </si>
  <si>
    <t>Alamat</t>
  </si>
  <si>
    <t>Tempat Lahir</t>
  </si>
  <si>
    <t>Tanggal Lahir</t>
  </si>
  <si>
    <t>No Telpon</t>
  </si>
  <si>
    <t>NAMA SISWA</t>
  </si>
  <si>
    <t>KELAS</t>
  </si>
  <si>
    <t>Juli</t>
  </si>
  <si>
    <t>Agustus</t>
  </si>
  <si>
    <t>September</t>
  </si>
  <si>
    <t>Oktober</t>
  </si>
  <si>
    <t>November</t>
  </si>
  <si>
    <t>Desember</t>
  </si>
  <si>
    <t>Januari</t>
  </si>
  <si>
    <t>Februari</t>
  </si>
  <si>
    <t>Maret</t>
  </si>
  <si>
    <t>April</t>
  </si>
  <si>
    <t>Mei</t>
  </si>
  <si>
    <t>Juni</t>
  </si>
  <si>
    <t>ID PEMBAYARAN</t>
  </si>
  <si>
    <t>NAMA</t>
  </si>
  <si>
    <t>JUMLAH BAYAR</t>
  </si>
  <si>
    <t>TGL BAYAR</t>
  </si>
  <si>
    <t>PMB-1001</t>
  </si>
  <si>
    <t>Erwin Suhariyanto</t>
  </si>
  <si>
    <t>PMB-1002</t>
  </si>
  <si>
    <t>Alan kiro</t>
  </si>
  <si>
    <t>PMB-1003</t>
  </si>
  <si>
    <t>ID BAYAR</t>
  </si>
  <si>
    <t>PMB-1004</t>
  </si>
  <si>
    <t>PMB-1005</t>
  </si>
  <si>
    <t>PMB-1006</t>
  </si>
  <si>
    <t>TELP : 031 - 32012457</t>
  </si>
  <si>
    <t>ID Bayar</t>
  </si>
  <si>
    <t>Tanggal Bayar</t>
  </si>
  <si>
    <t>Nomor Cetak</t>
  </si>
  <si>
    <t>Total Sudah Bayar</t>
  </si>
  <si>
    <t>Sisa Bayar</t>
  </si>
  <si>
    <t>Nis</t>
  </si>
  <si>
    <t>Jumlah Bayar</t>
  </si>
  <si>
    <t>ADMINISTRASI</t>
  </si>
  <si>
    <t>Laki - Laki</t>
  </si>
  <si>
    <t>Joko Boyo</t>
  </si>
  <si>
    <t>Nama Orang Tua</t>
  </si>
  <si>
    <t>Antony Jaya</t>
  </si>
  <si>
    <t>Tarmiji Siji</t>
  </si>
  <si>
    <t>NISN</t>
  </si>
  <si>
    <t>Total Bayar</t>
  </si>
  <si>
    <t>KELAS 10</t>
  </si>
  <si>
    <t>KELAS 11</t>
  </si>
  <si>
    <t>KELAS 12</t>
  </si>
  <si>
    <t>Kelas 10</t>
  </si>
  <si>
    <t>Kelas 11</t>
  </si>
  <si>
    <t>Kelas 12</t>
  </si>
  <si>
    <t>SPP</t>
  </si>
  <si>
    <t>DASHBOARD &amp; DATA PENDUKUNG</t>
  </si>
  <si>
    <t>TABEL DATA PEMBAYARAN SPP</t>
  </si>
  <si>
    <t>Kristian Prayoga</t>
  </si>
  <si>
    <t>Leony Laksania Thaka</t>
  </si>
  <si>
    <t>Loren Cia Enjelloka</t>
  </si>
  <si>
    <t>Melinda</t>
  </si>
  <si>
    <t>Melsa Jumilawati</t>
  </si>
  <si>
    <t>Muhammad Rahman</t>
  </si>
  <si>
    <t>Ninda</t>
  </si>
  <si>
    <t>Puja</t>
  </si>
  <si>
    <t>Putri Suryani</t>
  </si>
  <si>
    <t>Putri Yuliengga</t>
  </si>
  <si>
    <t>Sami</t>
  </si>
  <si>
    <t>Sindi Sutriani</t>
  </si>
  <si>
    <t>N-102124576</t>
  </si>
  <si>
    <t>N-102124577</t>
  </si>
  <si>
    <t>N-102124578</t>
  </si>
  <si>
    <t>N-102124579</t>
  </si>
  <si>
    <t>N-102124581</t>
  </si>
  <si>
    <t>N-102124582</t>
  </si>
  <si>
    <t>N-102124583</t>
  </si>
  <si>
    <t>N-102124584</t>
  </si>
  <si>
    <t>N-102124585</t>
  </si>
  <si>
    <t>N-102124586</t>
  </si>
  <si>
    <t>N-102124587</t>
  </si>
  <si>
    <t>N-102124588</t>
  </si>
  <si>
    <t>N-102124589</t>
  </si>
  <si>
    <t>N-102124590</t>
  </si>
  <si>
    <t>N-102124591</t>
  </si>
  <si>
    <t>N-102124592</t>
  </si>
  <si>
    <t>Perempuan</t>
  </si>
  <si>
    <t>Bondowoso</t>
  </si>
  <si>
    <t>Terbayar</t>
  </si>
  <si>
    <t>Terhutang</t>
  </si>
  <si>
    <t>Tabel SPP dan Rekap Pembayaran</t>
  </si>
  <si>
    <t>Tabel Jumlah Siswa Per Kelas</t>
  </si>
  <si>
    <t>Jumlah</t>
  </si>
  <si>
    <t>TOTAL</t>
  </si>
  <si>
    <t/>
  </si>
  <si>
    <t>N-102124598</t>
  </si>
  <si>
    <t>Puji Katiman</t>
  </si>
  <si>
    <t>N-102547847</t>
  </si>
  <si>
    <t>Suciwati</t>
  </si>
  <si>
    <t>PMB-1007</t>
  </si>
  <si>
    <t>Pembayaran SPP Bulan :</t>
  </si>
  <si>
    <t>Bulan</t>
  </si>
  <si>
    <t>Bayar</t>
  </si>
  <si>
    <t>Keterangan</t>
  </si>
  <si>
    <t>N-102453578</t>
  </si>
  <si>
    <t>Abiyoso Suryonoto</t>
  </si>
  <si>
    <t>N-1021245801</t>
  </si>
  <si>
    <t>PMB-1008</t>
  </si>
  <si>
    <t>PMB-1009</t>
  </si>
  <si>
    <t>PMB-10010</t>
  </si>
  <si>
    <t xml:space="preserve">SDN NGIMBANGAN - MOJOKERTO </t>
  </si>
  <si>
    <t xml:space="preserve"> NAMA SISWA</t>
  </si>
  <si>
    <t xml:space="preserve">JL. KARTINI NO.250 NGIMBANGAN - MOJOSARI </t>
  </si>
  <si>
    <t>N-123456789</t>
  </si>
  <si>
    <t xml:space="preserve">Mila Amalia </t>
  </si>
  <si>
    <t xml:space="preserve">Jl Buduran </t>
  </si>
  <si>
    <t>Jakarta</t>
  </si>
  <si>
    <t>Gondol</t>
  </si>
  <si>
    <t>Sidoarjo</t>
  </si>
  <si>
    <t>Itto</t>
  </si>
  <si>
    <t xml:space="preserve">Ahmad Robby </t>
  </si>
  <si>
    <t xml:space="preserve">Sudhamek </t>
  </si>
  <si>
    <t>Jl Tulangan</t>
  </si>
  <si>
    <t>Gresik</t>
  </si>
  <si>
    <t>N-1000003</t>
  </si>
  <si>
    <t>N-1000004</t>
  </si>
  <si>
    <t>N-1000001</t>
  </si>
  <si>
    <t>17/09/1567</t>
  </si>
  <si>
    <t>0812-7653-8976</t>
  </si>
  <si>
    <t>N-1000002</t>
  </si>
  <si>
    <t xml:space="preserve">Robbay </t>
  </si>
  <si>
    <t xml:space="preserve">Jl Gamping </t>
  </si>
  <si>
    <t>17/05/2010</t>
  </si>
  <si>
    <t>0812-7654-9876</t>
  </si>
  <si>
    <t xml:space="preserve">Jl Jeruk Gamping </t>
  </si>
  <si>
    <t>Ambon</t>
  </si>
  <si>
    <t>19/03/2019</t>
  </si>
  <si>
    <t>0812-9087-5643</t>
  </si>
  <si>
    <t>Azmilaa</t>
  </si>
  <si>
    <t>Jl Mojosari</t>
  </si>
  <si>
    <t xml:space="preserve">Mojokerto </t>
  </si>
  <si>
    <t>Tri</t>
  </si>
  <si>
    <t>0812-3456-7865</t>
  </si>
  <si>
    <t>19/08/2004</t>
  </si>
  <si>
    <t>N-1000005</t>
  </si>
  <si>
    <t>Yunita</t>
  </si>
  <si>
    <t>Jl Tanggul</t>
  </si>
  <si>
    <t>Banyuwangi</t>
  </si>
  <si>
    <t>18/10/2002</t>
  </si>
  <si>
    <t>Dwiki</t>
  </si>
  <si>
    <t>0812-6754-9876</t>
  </si>
  <si>
    <t>N-1000006</t>
  </si>
  <si>
    <t xml:space="preserve">Risma A </t>
  </si>
  <si>
    <t>Malang</t>
  </si>
  <si>
    <t>18/04/2013</t>
  </si>
  <si>
    <t>Jambul</t>
  </si>
  <si>
    <t>0812-2345-8976</t>
  </si>
  <si>
    <t>N-1000007</t>
  </si>
  <si>
    <t xml:space="preserve">M.Robby </t>
  </si>
  <si>
    <t>Jl Surga</t>
  </si>
  <si>
    <t>Salim</t>
  </si>
  <si>
    <t>0812-9876-5432</t>
  </si>
  <si>
    <t>N-1000008</t>
  </si>
  <si>
    <t>Pak Robbay</t>
  </si>
  <si>
    <t>Jl Trawas</t>
  </si>
  <si>
    <t>Lumajang</t>
  </si>
  <si>
    <t xml:space="preserve">Cris Feng </t>
  </si>
  <si>
    <t>0812-5678-4321</t>
  </si>
  <si>
    <t>N-1000009</t>
  </si>
  <si>
    <t>Pak Gondol</t>
  </si>
  <si>
    <t xml:space="preserve">Jl Pinang </t>
  </si>
  <si>
    <t>Merauke</t>
  </si>
  <si>
    <t xml:space="preserve">AWS </t>
  </si>
  <si>
    <t>0812-5678-0987</t>
  </si>
  <si>
    <t>N-10000010</t>
  </si>
  <si>
    <t xml:space="preserve">Wulan </t>
  </si>
  <si>
    <t xml:space="preserve">Jl Waru </t>
  </si>
  <si>
    <t>12/09/1897</t>
  </si>
  <si>
    <t>Ulo</t>
  </si>
  <si>
    <t>0812-9087-5672</t>
  </si>
  <si>
    <t>N-10000011</t>
  </si>
  <si>
    <t>Virokowo</t>
  </si>
  <si>
    <t>Jl Pungging</t>
  </si>
  <si>
    <t>Dili</t>
  </si>
  <si>
    <t>Gentong</t>
  </si>
  <si>
    <t>0812-6543-9876</t>
  </si>
  <si>
    <t>N-10000012</t>
  </si>
  <si>
    <t xml:space="preserve">Cemong </t>
  </si>
  <si>
    <t>Jl Sukodono</t>
  </si>
  <si>
    <t xml:space="preserve">Sabang </t>
  </si>
  <si>
    <t>Men</t>
  </si>
  <si>
    <t>0812-9875-1234</t>
  </si>
  <si>
    <t>N-10000013</t>
  </si>
  <si>
    <t xml:space="preserve">Tegar </t>
  </si>
  <si>
    <t>Jl Wonoayu</t>
  </si>
  <si>
    <t xml:space="preserve">Sapang </t>
  </si>
  <si>
    <t>Mogadhsu</t>
  </si>
  <si>
    <t>0812-5643-1234</t>
  </si>
  <si>
    <t>N-10000014</t>
  </si>
  <si>
    <t>Yafi</t>
  </si>
  <si>
    <t>Jl Griya</t>
  </si>
  <si>
    <t>Tegal</t>
  </si>
  <si>
    <t>13/04/2018</t>
  </si>
  <si>
    <t>Abid</t>
  </si>
  <si>
    <t>0812-7654-4321</t>
  </si>
  <si>
    <t>N-10000015</t>
  </si>
  <si>
    <t>Rizaldy</t>
  </si>
  <si>
    <t>Jl Bps</t>
  </si>
  <si>
    <t>Bandung</t>
  </si>
  <si>
    <t xml:space="preserve">Xcn </t>
  </si>
  <si>
    <t>0812-7654-9076</t>
  </si>
  <si>
    <t>N-10000016</t>
  </si>
  <si>
    <t>Vivi</t>
  </si>
  <si>
    <t>Jl Prambon</t>
  </si>
  <si>
    <t xml:space="preserve">Ternate </t>
  </si>
  <si>
    <t>12/09/19087</t>
  </si>
  <si>
    <t xml:space="preserve">Sigit </t>
  </si>
  <si>
    <t>0812-7892-9087</t>
  </si>
  <si>
    <t>N-10000017</t>
  </si>
  <si>
    <t>Amanda</t>
  </si>
  <si>
    <t xml:space="preserve">Jl Wetan </t>
  </si>
  <si>
    <t>Sanur</t>
  </si>
  <si>
    <t>Sinyo</t>
  </si>
  <si>
    <t>0812-9876-2345</t>
  </si>
  <si>
    <t>N-10000018</t>
  </si>
  <si>
    <t>Jihan</t>
  </si>
  <si>
    <t>Jl Sidomojo</t>
  </si>
  <si>
    <t>Ankara</t>
  </si>
  <si>
    <t>17/08/2002</t>
  </si>
  <si>
    <t>Ucup</t>
  </si>
  <si>
    <t>0812-6543-9087</t>
  </si>
  <si>
    <t>N-10000019</t>
  </si>
  <si>
    <t xml:space="preserve">Ahmad </t>
  </si>
  <si>
    <t>Jl Sukses</t>
  </si>
  <si>
    <t>Batang</t>
  </si>
  <si>
    <t xml:space="preserve">Robby </t>
  </si>
  <si>
    <t>0812-5675-1234</t>
  </si>
  <si>
    <t>Mr Robby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</si>
</sst>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Rp&quot;* #,##0_);_(&quot;Rp&quot;* \(#,##0\);_(&quot;Rp&quot;* &quot;-&quot;_);_(@_)"/>
    <numFmt numFmtId="165" formatCode="[$-F800]dddd\,\ mmmm\ dd\,\ yyyy"/>
    <numFmt numFmtId="166" formatCode="_-[$Rp-421]* #,##0_-;\-[$Rp-421]* #,##0_-;_-[$Rp-421]* &quot;-&quot;??_-;_-@_-"/>
  </numFmts>
  <fonts count="19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1"/>
      <color theme="1"/>
      <name val="Roboto Condensed"/>
    </font>
    <font>
      <b/>
      <sz val="16"/>
      <color rgb="FFFF9933"/>
      <name val="Roboto Condensed"/>
    </font>
    <font>
      <b/>
      <sz val="14"/>
      <color theme="1"/>
      <name val="Roboto Condensed"/>
    </font>
    <font>
      <b/>
      <sz val="11"/>
      <color theme="1"/>
      <name val="Roboto Condensed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sz val="10"/>
      <color theme="1"/>
      <name val="Roboto Condensed"/>
    </font>
    <font>
      <b/>
      <sz val="10"/>
      <color rgb="FFFF9933"/>
      <name val="Roboto Condensed"/>
    </font>
    <font>
      <b/>
      <sz val="10"/>
      <color theme="0" tint="-4.9989318521683403E-2"/>
      <name val="Roboto Condensed"/>
    </font>
    <font>
      <b/>
      <sz val="10"/>
      <color rgb="FF322351"/>
      <name val="Roboto Condensed"/>
    </font>
    <font>
      <sz val="11"/>
      <color theme="0"/>
      <name val="Roboto Condensed"/>
    </font>
    <font>
      <sz val="10"/>
      <color theme="0"/>
      <name val="Roboto Condensed"/>
    </font>
    <font>
      <b/>
      <sz val="12"/>
      <color rgb="FF110822"/>
      <name val="Roboto Condensed"/>
    </font>
    <font>
      <b/>
      <sz val="10"/>
      <color theme="1"/>
      <name val="Roboto Condensed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11082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2235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medium">
        <color rgb="FF110822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78">
    <xf numFmtId="0" fontId="0" fillId="0" borderId="0" xfId="0"/>
    <xf numFmtId="0" fontId="2" fillId="3" borderId="0" xfId="0" applyFont="1" applyFill="1"/>
    <xf numFmtId="164" fontId="2" fillId="3" borderId="0" xfId="1" applyFont="1" applyFill="1"/>
    <xf numFmtId="1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5" fillId="0" borderId="6" xfId="0" applyFont="1" applyBorder="1" applyAlignment="1"/>
    <xf numFmtId="0" fontId="6" fillId="0" borderId="6" xfId="0" applyFont="1" applyBorder="1" applyAlignment="1"/>
    <xf numFmtId="0" fontId="0" fillId="0" borderId="0" xfId="0" applyBorder="1"/>
    <xf numFmtId="0" fontId="0" fillId="0" borderId="6" xfId="0" applyBorder="1"/>
    <xf numFmtId="0" fontId="7" fillId="0" borderId="0" xfId="0" applyFont="1" applyBorder="1" applyAlignment="1">
      <alignment horizontal="right"/>
    </xf>
    <xf numFmtId="0" fontId="8" fillId="0" borderId="0" xfId="0" applyFont="1" applyBorder="1"/>
    <xf numFmtId="0" fontId="7" fillId="0" borderId="0" xfId="0" applyFont="1" applyBorder="1"/>
    <xf numFmtId="0" fontId="8" fillId="0" borderId="0" xfId="0" applyFont="1" applyFill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3" fillId="0" borderId="0" xfId="0" applyFont="1"/>
    <xf numFmtId="0" fontId="9" fillId="0" borderId="0" xfId="0" applyFont="1"/>
    <xf numFmtId="0" fontId="10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166" fontId="9" fillId="0" borderId="0" xfId="0" applyNumberFormat="1" applyFont="1"/>
    <xf numFmtId="0" fontId="11" fillId="5" borderId="0" xfId="0" applyFont="1" applyFill="1" applyAlignment="1">
      <alignment horizontal="center" vertical="center"/>
    </xf>
    <xf numFmtId="0" fontId="12" fillId="0" borderId="19" xfId="0" applyFont="1" applyFill="1" applyBorder="1" applyAlignment="1">
      <alignment horizontal="center" vertical="center"/>
    </xf>
    <xf numFmtId="166" fontId="9" fillId="0" borderId="19" xfId="0" applyNumberFormat="1" applyFont="1" applyBorder="1"/>
    <xf numFmtId="164" fontId="9" fillId="0" borderId="0" xfId="1" applyFont="1"/>
    <xf numFmtId="0" fontId="13" fillId="3" borderId="0" xfId="0" applyFont="1" applyFill="1"/>
    <xf numFmtId="164" fontId="13" fillId="3" borderId="0" xfId="1" applyFont="1" applyFill="1"/>
    <xf numFmtId="0" fontId="14" fillId="3" borderId="0" xfId="0" applyFont="1" applyFill="1"/>
    <xf numFmtId="164" fontId="14" fillId="3" borderId="0" xfId="1" applyFont="1" applyFill="1"/>
    <xf numFmtId="0" fontId="15" fillId="0" borderId="20" xfId="0" applyFont="1" applyBorder="1"/>
    <xf numFmtId="0" fontId="0" fillId="0" borderId="20" xfId="0" applyBorder="1"/>
    <xf numFmtId="14" fontId="10" fillId="2" borderId="0" xfId="0" applyNumberFormat="1" applyFont="1" applyFill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14" fontId="9" fillId="0" borderId="0" xfId="0" applyNumberFormat="1" applyFont="1" applyAlignment="1">
      <alignment horizontal="left" vertical="center"/>
    </xf>
    <xf numFmtId="49" fontId="3" fillId="0" borderId="0" xfId="0" applyNumberFormat="1" applyFont="1"/>
    <xf numFmtId="49" fontId="10" fillId="2" borderId="0" xfId="0" applyNumberFormat="1" applyFont="1" applyFill="1" applyAlignment="1">
      <alignment vertical="center"/>
    </xf>
    <xf numFmtId="49" fontId="9" fillId="0" borderId="0" xfId="0" applyNumberFormat="1" applyFont="1"/>
    <xf numFmtId="0" fontId="17" fillId="0" borderId="0" xfId="0" applyFont="1" applyAlignment="1">
      <alignment horizontal="left" vertical="center"/>
    </xf>
    <xf numFmtId="0" fontId="10" fillId="2" borderId="19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9" xfId="0" applyBorder="1"/>
    <xf numFmtId="0" fontId="18" fillId="2" borderId="0" xfId="0" applyFont="1" applyFill="1" applyAlignment="1">
      <alignment horizontal="left" vertical="center"/>
    </xf>
    <xf numFmtId="0" fontId="0" fillId="0" borderId="19" xfId="0" applyBorder="1" applyAlignment="1">
      <alignment horizontal="center" vertical="center"/>
    </xf>
    <xf numFmtId="0" fontId="18" fillId="2" borderId="0" xfId="0" applyFont="1" applyFill="1" applyAlignment="1">
      <alignment horizontal="center" vertical="center"/>
    </xf>
    <xf numFmtId="0" fontId="9" fillId="0" borderId="0" xfId="0" applyFont="1" applyBorder="1"/>
    <xf numFmtId="0" fontId="7" fillId="0" borderId="0" xfId="0" applyFont="1" applyFill="1" applyBorder="1"/>
    <xf numFmtId="0" fontId="7" fillId="0" borderId="0" xfId="0" applyFont="1" applyBorder="1" applyAlignment="1">
      <alignment horizontal="center" vertical="center"/>
    </xf>
    <xf numFmtId="0" fontId="16" fillId="4" borderId="10" xfId="0" applyFont="1" applyFill="1" applyBorder="1"/>
    <xf numFmtId="0" fontId="7" fillId="0" borderId="0" xfId="0" applyFont="1" applyBorder="1" applyAlignment="1">
      <alignment horizontal="right"/>
    </xf>
    <xf numFmtId="164" fontId="16" fillId="4" borderId="10" xfId="1" applyFont="1" applyFill="1" applyBorder="1" applyAlignment="1">
      <alignment horizontal="left" vertical="center"/>
    </xf>
    <xf numFmtId="0" fontId="16" fillId="4" borderId="11" xfId="0" applyFont="1" applyFill="1" applyBorder="1"/>
    <xf numFmtId="164" fontId="16" fillId="4" borderId="12" xfId="1" applyFont="1" applyFill="1" applyBorder="1" applyAlignment="1">
      <alignment horizontal="left" vertical="center"/>
    </xf>
    <xf numFmtId="164" fontId="16" fillId="4" borderId="12" xfId="1" applyFont="1" applyFill="1" applyBorder="1"/>
    <xf numFmtId="0" fontId="8" fillId="0" borderId="0" xfId="0" applyFont="1" applyBorder="1" applyAlignment="1">
      <alignment horizontal="center"/>
    </xf>
    <xf numFmtId="165" fontId="8" fillId="0" borderId="0" xfId="0" applyNumberFormat="1" applyFont="1" applyBorder="1" applyAlignment="1">
      <alignment horizontal="center"/>
    </xf>
    <xf numFmtId="0" fontId="7" fillId="0" borderId="13" xfId="0" applyFont="1" applyBorder="1" applyAlignment="1">
      <alignment horizontal="left" vertical="center" indent="1"/>
    </xf>
    <xf numFmtId="0" fontId="7" fillId="0" borderId="14" xfId="0" applyFont="1" applyBorder="1" applyAlignment="1">
      <alignment horizontal="left" vertical="center" indent="1"/>
    </xf>
    <xf numFmtId="0" fontId="7" fillId="0" borderId="15" xfId="0" applyFont="1" applyBorder="1" applyAlignment="1">
      <alignment horizontal="left" vertical="center" indent="1"/>
    </xf>
    <xf numFmtId="0" fontId="7" fillId="0" borderId="16" xfId="0" applyFont="1" applyBorder="1" applyAlignment="1">
      <alignment horizontal="left" vertical="center" indent="1"/>
    </xf>
    <xf numFmtId="0" fontId="7" fillId="0" borderId="17" xfId="0" applyFont="1" applyBorder="1" applyAlignment="1">
      <alignment horizontal="left" vertical="center" indent="1"/>
    </xf>
    <xf numFmtId="0" fontId="7" fillId="0" borderId="18" xfId="0" applyFont="1" applyBorder="1" applyAlignment="1">
      <alignment horizontal="left" vertical="center" indent="1"/>
    </xf>
    <xf numFmtId="0" fontId="5" fillId="0" borderId="2" xfId="0" applyFont="1" applyBorder="1" applyAlignment="1"/>
    <xf numFmtId="0" fontId="5" fillId="0" borderId="3" xfId="0" applyFont="1" applyBorder="1" applyAlignment="1"/>
    <xf numFmtId="0" fontId="5" fillId="0" borderId="4" xfId="0" applyFont="1" applyBorder="1" applyAlignment="1"/>
    <xf numFmtId="0" fontId="6" fillId="0" borderId="5" xfId="0" applyFont="1" applyBorder="1" applyAlignment="1"/>
    <xf numFmtId="0" fontId="6" fillId="0" borderId="0" xfId="0" applyFont="1" applyBorder="1" applyAlignment="1"/>
    <xf numFmtId="0" fontId="6" fillId="0" borderId="6" xfId="0" applyFont="1" applyBorder="1" applyAlignment="1"/>
    <xf numFmtId="0" fontId="6" fillId="0" borderId="7" xfId="0" applyFont="1" applyBorder="1" applyAlignment="1"/>
    <xf numFmtId="0" fontId="6" fillId="0" borderId="8" xfId="0" applyFont="1" applyBorder="1" applyAlignment="1"/>
    <xf numFmtId="0" fontId="6" fillId="0" borderId="9" xfId="0" applyFont="1" applyBorder="1" applyAlignment="1"/>
    <xf numFmtId="0" fontId="16" fillId="4" borderId="0" xfId="0" applyFont="1" applyFill="1" applyBorder="1" applyAlignment="1">
      <alignment horizontal="center"/>
    </xf>
    <xf numFmtId="14" fontId="7" fillId="4" borderId="0" xfId="0" applyNumberFormat="1" applyFont="1" applyFill="1" applyBorder="1" applyAlignment="1">
      <alignment horizontal="left"/>
    </xf>
  </cellXfs>
  <cellStyles count="2">
    <cellStyle name="Currency [0]" xfId="1" builtinId="7"/>
    <cellStyle name="Normal" xfId="0" builtinId="0"/>
  </cellStyles>
  <dxfs count="1">
    <dxf>
      <border>
        <left/>
        <right/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colors>
    <mruColors>
      <color rgb="FF110822"/>
      <color rgb="FFFF9933"/>
      <color rgb="FF322351"/>
      <color rgb="FF00FFFF"/>
      <color rgb="FFFF0066"/>
      <color rgb="FF00FF99"/>
      <color rgb="FF00CC99"/>
      <color rgb="FF3B383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18" Type="http://schemas.openxmlformats.org/officeDocument/2006/relationships/image" Target="../media/image18.png"/><Relationship Id="rId3" Type="http://schemas.openxmlformats.org/officeDocument/2006/relationships/image" Target="../media/image3.svg"/><Relationship Id="rId21" Type="http://schemas.openxmlformats.org/officeDocument/2006/relationships/image" Target="../media/image21.svg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17" Type="http://schemas.openxmlformats.org/officeDocument/2006/relationships/image" Target="../media/image17.sv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jp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5" Type="http://schemas.openxmlformats.org/officeDocument/2006/relationships/image" Target="../media/image5.svg"/><Relationship Id="rId15" Type="http://schemas.openxmlformats.org/officeDocument/2006/relationships/image" Target="../media/image15.svg"/><Relationship Id="rId10" Type="http://schemas.openxmlformats.org/officeDocument/2006/relationships/image" Target="../media/image10.png"/><Relationship Id="rId19" Type="http://schemas.openxmlformats.org/officeDocument/2006/relationships/image" Target="../media/image19.svg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</xdr:colOff>
      <xdr:row>0</xdr:row>
      <xdr:rowOff>104776</xdr:rowOff>
    </xdr:from>
    <xdr:to>
      <xdr:col>0</xdr:col>
      <xdr:colOff>2095500</xdr:colOff>
      <xdr:row>37</xdr:row>
      <xdr:rowOff>161925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" y="104776"/>
          <a:ext cx="2095499" cy="7258049"/>
        </a:xfrm>
        <a:prstGeom prst="rect">
          <a:avLst/>
        </a:prstGeom>
        <a:solidFill>
          <a:srgbClr val="32235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14</xdr:col>
      <xdr:colOff>66676</xdr:colOff>
      <xdr:row>28</xdr:row>
      <xdr:rowOff>0</xdr:rowOff>
    </xdr:from>
    <xdr:ext cx="1970542" cy="362920"/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8601076" y="5715000"/>
          <a:ext cx="1970542" cy="3629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1600" b="1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LAKI -</a:t>
          </a:r>
          <a:r>
            <a:rPr lang="en-US" sz="1600" b="1" baseline="0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 LAKI</a:t>
          </a:r>
          <a:endParaRPr lang="en-US" sz="1600" b="1">
            <a:solidFill>
              <a:schemeClr val="bg1"/>
            </a:solidFill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oneCellAnchor>
  <xdr:oneCellAnchor>
    <xdr:from>
      <xdr:col>19</xdr:col>
      <xdr:colOff>371476</xdr:colOff>
      <xdr:row>28</xdr:row>
      <xdr:rowOff>28575</xdr:rowOff>
    </xdr:from>
    <xdr:ext cx="1970542" cy="362920"/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11953876" y="5743575"/>
          <a:ext cx="1970542" cy="3629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1600" b="1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PEREMPUAN</a:t>
          </a:r>
        </a:p>
      </xdr:txBody>
    </xdr:sp>
    <xdr:clientData/>
  </xdr:oneCellAnchor>
  <xdr:twoCellAnchor editAs="oneCell">
    <xdr:from>
      <xdr:col>0</xdr:col>
      <xdr:colOff>483395</xdr:colOff>
      <xdr:row>0</xdr:row>
      <xdr:rowOff>140880</xdr:rowOff>
    </xdr:from>
    <xdr:to>
      <xdr:col>0</xdr:col>
      <xdr:colOff>1513703</xdr:colOff>
      <xdr:row>5</xdr:row>
      <xdr:rowOff>123438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395" y="140880"/>
          <a:ext cx="1030308" cy="1030308"/>
        </a:xfrm>
        <a:prstGeom prst="roundRect">
          <a:avLst/>
        </a:prstGeom>
      </xdr:spPr>
    </xdr:pic>
    <xdr:clientData/>
  </xdr:twoCellAnchor>
  <xdr:twoCellAnchor>
    <xdr:from>
      <xdr:col>0</xdr:col>
      <xdr:colOff>61916</xdr:colOff>
      <xdr:row>14</xdr:row>
      <xdr:rowOff>186691</xdr:rowOff>
    </xdr:from>
    <xdr:to>
      <xdr:col>0</xdr:col>
      <xdr:colOff>1990724</xdr:colOff>
      <xdr:row>16</xdr:row>
      <xdr:rowOff>190066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61916" y="3006091"/>
          <a:ext cx="1928808" cy="384375"/>
          <a:chOff x="61916" y="3006091"/>
          <a:chExt cx="1928808" cy="384375"/>
        </a:xfrm>
      </xdr:grpSpPr>
      <xdr:grpSp>
        <xdr:nvGrpSpPr>
          <xdr:cNvPr id="20" name="Group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GrpSpPr/>
        </xdr:nvGrpSpPr>
        <xdr:grpSpPr>
          <a:xfrm>
            <a:off x="61916" y="3006091"/>
            <a:ext cx="1908000" cy="384375"/>
            <a:chOff x="47624" y="2134834"/>
            <a:chExt cx="1660659" cy="420865"/>
          </a:xfrm>
        </xdr:grpSpPr>
        <xdr:sp macro="[0]!MenuC" textlink="">
          <xdr:nvSpPr>
            <xdr:cNvPr id="29" name="MENU3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SpPr/>
          </xdr:nvSpPr>
          <xdr:spPr>
            <a:xfrm>
              <a:off x="47624" y="2134834"/>
              <a:ext cx="1660659" cy="420865"/>
            </a:xfrm>
            <a:prstGeom prst="rect">
              <a:avLst/>
            </a:prstGeom>
            <a:solidFill>
              <a:srgbClr val="32235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 macro="[0]!MenuC">
          <xdr:nvPicPr>
            <xdr:cNvPr id="22" name="Graphic 21" descr="Document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"/>
                </a:ext>
              </a:extLst>
            </a:blip>
            <a:stretch>
              <a:fillRect/>
            </a:stretch>
          </xdr:blipFill>
          <xdr:spPr>
            <a:xfrm>
              <a:off x="137411" y="2165266"/>
              <a:ext cx="360000" cy="360000"/>
            </a:xfrm>
            <a:prstGeom prst="rect">
              <a:avLst/>
            </a:prstGeom>
          </xdr:spPr>
        </xdr:pic>
      </xdr:grpSp>
      <xdr:sp macro="[0]!MenuC" textlink="">
        <xdr:nvSpPr>
          <xdr:cNvPr id="45" name="TextBox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SpPr txBox="1"/>
        </xdr:nvSpPr>
        <xdr:spPr>
          <a:xfrm>
            <a:off x="589471" y="3099001"/>
            <a:ext cx="1401253" cy="2531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id-ID" sz="1200" b="1">
                <a:solidFill>
                  <a:schemeClr val="bg1"/>
                </a:solidFill>
                <a:latin typeface="Times New Roman" pitchFamily="18" charset="0"/>
                <a:ea typeface="Roboto Condensed" panose="02000000000000000000" pitchFamily="2" charset="0"/>
                <a:cs typeface="Times New Roman" pitchFamily="18" charset="0"/>
              </a:rPr>
              <a:t>Form </a:t>
            </a:r>
            <a:r>
              <a:rPr lang="en-US" sz="1200" b="1">
                <a:solidFill>
                  <a:schemeClr val="bg1"/>
                </a:solidFill>
                <a:latin typeface="Times New Roman" pitchFamily="18" charset="0"/>
                <a:ea typeface="Roboto Condensed" panose="02000000000000000000" pitchFamily="2" charset="0"/>
                <a:cs typeface="Times New Roman" pitchFamily="18" charset="0"/>
              </a:rPr>
              <a:t>Rekapitulasi</a:t>
            </a:r>
          </a:p>
        </xdr:txBody>
      </xdr:sp>
    </xdr:grpSp>
    <xdr:clientData/>
  </xdr:twoCellAnchor>
  <xdr:twoCellAnchor>
    <xdr:from>
      <xdr:col>0</xdr:col>
      <xdr:colOff>90487</xdr:colOff>
      <xdr:row>7</xdr:row>
      <xdr:rowOff>203360</xdr:rowOff>
    </xdr:from>
    <xdr:to>
      <xdr:col>0</xdr:col>
      <xdr:colOff>1998487</xdr:colOff>
      <xdr:row>9</xdr:row>
      <xdr:rowOff>206735</xdr:rowOff>
    </xdr:to>
    <xdr:sp macro="[0]!MenuA" textlink="">
      <xdr:nvSpPr>
        <xdr:cNvPr id="5" name="MENU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0487" y="1765460"/>
          <a:ext cx="1908000" cy="422475"/>
        </a:xfrm>
        <a:prstGeom prst="rect">
          <a:avLst/>
        </a:prstGeom>
        <a:solidFill>
          <a:srgbClr val="32235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184189</xdr:colOff>
      <xdr:row>8</xdr:row>
      <xdr:rowOff>18600</xdr:rowOff>
    </xdr:from>
    <xdr:to>
      <xdr:col>0</xdr:col>
      <xdr:colOff>2000249</xdr:colOff>
      <xdr:row>9</xdr:row>
      <xdr:rowOff>181946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184189" y="1675950"/>
          <a:ext cx="1816060" cy="353846"/>
          <a:chOff x="184189" y="1675950"/>
          <a:chExt cx="1816060" cy="353846"/>
        </a:xfrm>
      </xdr:grpSpPr>
      <xdr:sp macro="[0]!MenuA" textlink="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 txBox="1"/>
        </xdr:nvSpPr>
        <xdr:spPr>
          <a:xfrm>
            <a:off x="581744" y="1736154"/>
            <a:ext cx="1418505" cy="23343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id-ID" sz="1200" b="1">
                <a:solidFill>
                  <a:schemeClr val="bg1"/>
                </a:solidFill>
                <a:latin typeface="Times New Roman" pitchFamily="18" charset="0"/>
                <a:ea typeface="Roboto Condensed" panose="02000000000000000000" pitchFamily="2" charset="0"/>
                <a:cs typeface="Times New Roman" pitchFamily="18" charset="0"/>
              </a:rPr>
              <a:t>Form </a:t>
            </a:r>
            <a:r>
              <a:rPr lang="en-US" sz="1200" b="1">
                <a:solidFill>
                  <a:schemeClr val="bg1"/>
                </a:solidFill>
                <a:latin typeface="Times New Roman" pitchFamily="18" charset="0"/>
                <a:ea typeface="Roboto Condensed" panose="02000000000000000000" pitchFamily="2" charset="0"/>
                <a:cs typeface="Times New Roman" pitchFamily="18" charset="0"/>
              </a:rPr>
              <a:t>Data Siswa</a:t>
            </a:r>
          </a:p>
        </xdr:txBody>
      </xdr:sp>
      <xdr:pic macro="[0]!MenuA">
        <xdr:nvPicPr>
          <xdr:cNvPr id="42" name="Graphic 41" descr="Office worker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84189" y="1675950"/>
            <a:ext cx="358839" cy="353846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90487</xdr:colOff>
      <xdr:row>11</xdr:row>
      <xdr:rowOff>103347</xdr:rowOff>
    </xdr:from>
    <xdr:to>
      <xdr:col>0</xdr:col>
      <xdr:colOff>1998487</xdr:colOff>
      <xdr:row>13</xdr:row>
      <xdr:rowOff>94816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90487" y="2332197"/>
          <a:ext cx="1908000" cy="391519"/>
          <a:chOff x="90487" y="2332197"/>
          <a:chExt cx="1908000" cy="391519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GrpSpPr/>
        </xdr:nvGrpSpPr>
        <xdr:grpSpPr>
          <a:xfrm>
            <a:off x="90487" y="2332197"/>
            <a:ext cx="1908000" cy="391519"/>
            <a:chOff x="90487" y="2332197"/>
            <a:chExt cx="1908000" cy="391519"/>
          </a:xfrm>
        </xdr:grpSpPr>
        <xdr:sp macro="[0]!MenuB" textlink="">
          <xdr:nvSpPr>
            <xdr:cNvPr id="10" name="MENU2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90487" y="2332197"/>
              <a:ext cx="1908000" cy="391519"/>
            </a:xfrm>
            <a:prstGeom prst="rect">
              <a:avLst/>
            </a:prstGeom>
            <a:solidFill>
              <a:srgbClr val="32235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MenuB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00000000-0008-0000-0000-00002C000000}"/>
                </a:ext>
              </a:extLst>
            </xdr:cNvPr>
            <xdr:cNvSpPr txBox="1"/>
          </xdr:nvSpPr>
          <xdr:spPr>
            <a:xfrm>
              <a:off x="590801" y="2401713"/>
              <a:ext cx="1307936" cy="2273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id-ID" sz="1200" b="1">
                  <a:solidFill>
                    <a:schemeClr val="bg1"/>
                  </a:solidFill>
                  <a:latin typeface="Times New Roman" pitchFamily="18" charset="0"/>
                  <a:ea typeface="Roboto Condensed" panose="02000000000000000000" pitchFamily="2" charset="0"/>
                  <a:cs typeface="Times New Roman" pitchFamily="18" charset="0"/>
                </a:rPr>
                <a:t>Form </a:t>
              </a:r>
              <a:r>
                <a:rPr lang="en-US" sz="1200" b="1">
                  <a:solidFill>
                    <a:schemeClr val="bg1"/>
                  </a:solidFill>
                  <a:latin typeface="Times New Roman" pitchFamily="18" charset="0"/>
                  <a:ea typeface="Roboto Condensed" panose="02000000000000000000" pitchFamily="2" charset="0"/>
                  <a:cs typeface="Times New Roman" pitchFamily="18" charset="0"/>
                </a:rPr>
                <a:t>Bayar SPP</a:t>
              </a:r>
            </a:p>
          </xdr:txBody>
        </xdr:sp>
      </xdr:grpSp>
      <xdr:pic macro="[0]!MenuB">
        <xdr:nvPicPr>
          <xdr:cNvPr id="50" name="Graphic 49" descr="Fax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207111" y="2373702"/>
            <a:ext cx="316723" cy="30851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90488</xdr:colOff>
      <xdr:row>18</xdr:row>
      <xdr:rowOff>105728</xdr:rowOff>
    </xdr:from>
    <xdr:to>
      <xdr:col>0</xdr:col>
      <xdr:colOff>1998488</xdr:colOff>
      <xdr:row>20</xdr:row>
      <xdr:rowOff>109103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GrpSpPr/>
      </xdr:nvGrpSpPr>
      <xdr:grpSpPr>
        <a:xfrm>
          <a:off x="90488" y="3687128"/>
          <a:ext cx="1908000" cy="384375"/>
          <a:chOff x="90488" y="3687128"/>
          <a:chExt cx="1908000" cy="384375"/>
        </a:xfrm>
      </xdr:grpSpPr>
      <xdr:sp macro="[0]!MenuD" textlink="">
        <xdr:nvSpPr>
          <xdr:cNvPr id="30" name="MENU4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/>
        </xdr:nvSpPr>
        <xdr:spPr>
          <a:xfrm>
            <a:off x="90488" y="3687128"/>
            <a:ext cx="1908000" cy="384375"/>
          </a:xfrm>
          <a:prstGeom prst="rect">
            <a:avLst/>
          </a:prstGeom>
          <a:solidFill>
            <a:srgbClr val="32235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MenuD" textlink="">
        <xdr:nvSpPr>
          <xdr:cNvPr id="46" name="TextBox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SpPr txBox="1"/>
        </xdr:nvSpPr>
        <xdr:spPr>
          <a:xfrm>
            <a:off x="592547" y="3758399"/>
            <a:ext cx="1360077" cy="240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r>
              <a:rPr lang="id-ID" sz="1200" b="1">
                <a:solidFill>
                  <a:schemeClr val="bg1"/>
                </a:solidFill>
                <a:latin typeface="Times New Roman" pitchFamily="18" charset="0"/>
                <a:ea typeface="Roboto Condensed" panose="02000000000000000000" pitchFamily="2" charset="0"/>
                <a:cs typeface="Times New Roman" pitchFamily="18" charset="0"/>
              </a:rPr>
              <a:t>Tabel </a:t>
            </a:r>
            <a:r>
              <a:rPr lang="en-US" sz="1200" b="1">
                <a:solidFill>
                  <a:schemeClr val="bg1"/>
                </a:solidFill>
                <a:latin typeface="Times New Roman" pitchFamily="18" charset="0"/>
                <a:ea typeface="Roboto Condensed" panose="02000000000000000000" pitchFamily="2" charset="0"/>
                <a:cs typeface="Times New Roman" pitchFamily="18" charset="0"/>
              </a:rPr>
              <a:t>Data Bayar</a:t>
            </a:r>
          </a:p>
        </xdr:txBody>
      </xdr:sp>
      <xdr:pic macro="[0]!MenuD">
        <xdr:nvPicPr>
          <xdr:cNvPr id="55" name="Graphic 54" descr="Money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230723" y="3745274"/>
            <a:ext cx="343956" cy="26475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90493</xdr:colOff>
      <xdr:row>22</xdr:row>
      <xdr:rowOff>5715</xdr:rowOff>
    </xdr:from>
    <xdr:to>
      <xdr:col>0</xdr:col>
      <xdr:colOff>2047875</xdr:colOff>
      <xdr:row>24</xdr:row>
      <xdr:rowOff>9090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pSpPr/>
      </xdr:nvGrpSpPr>
      <xdr:grpSpPr>
        <a:xfrm>
          <a:off x="90493" y="4349115"/>
          <a:ext cx="1957382" cy="384375"/>
          <a:chOff x="90493" y="4349115"/>
          <a:chExt cx="1957382" cy="384375"/>
        </a:xfrm>
      </xdr:grpSpPr>
      <xdr:sp macro="[0]!MenuE" textlink="">
        <xdr:nvSpPr>
          <xdr:cNvPr id="31" name="MENU5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/>
        </xdr:nvSpPr>
        <xdr:spPr>
          <a:xfrm>
            <a:off x="90493" y="4349115"/>
            <a:ext cx="1908000" cy="384375"/>
          </a:xfrm>
          <a:prstGeom prst="rect">
            <a:avLst/>
          </a:prstGeom>
          <a:solidFill>
            <a:srgbClr val="32235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MenuE" textlink="">
        <xdr:nvSpPr>
          <xdr:cNvPr id="47" name="TextBox 46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SpPr txBox="1"/>
        </xdr:nvSpPr>
        <xdr:spPr>
          <a:xfrm>
            <a:off x="593623" y="4424549"/>
            <a:ext cx="1454252" cy="2531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id-ID" sz="1200" b="1">
                <a:solidFill>
                  <a:schemeClr val="bg1"/>
                </a:solidFill>
                <a:latin typeface="Times New Roman" pitchFamily="18" charset="0"/>
                <a:ea typeface="Roboto Condensed" panose="02000000000000000000" pitchFamily="2" charset="0"/>
                <a:cs typeface="Times New Roman" pitchFamily="18" charset="0"/>
              </a:rPr>
              <a:t>Sheet </a:t>
            </a:r>
            <a:r>
              <a:rPr lang="en-US" sz="1200" b="1">
                <a:solidFill>
                  <a:schemeClr val="bg1"/>
                </a:solidFill>
                <a:latin typeface="Times New Roman" pitchFamily="18" charset="0"/>
                <a:ea typeface="Roboto Condensed" panose="02000000000000000000" pitchFamily="2" charset="0"/>
                <a:cs typeface="Times New Roman" pitchFamily="18" charset="0"/>
              </a:rPr>
              <a:t>Kwitansi</a:t>
            </a:r>
          </a:p>
        </xdr:txBody>
      </xdr:sp>
      <xdr:pic macro="[0]!MenuE">
        <xdr:nvPicPr>
          <xdr:cNvPr id="59" name="Graphic 58" descr="Credit card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209550" y="4364344"/>
            <a:ext cx="410340" cy="363444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75888</xdr:colOff>
      <xdr:row>0</xdr:row>
      <xdr:rowOff>119902</xdr:rowOff>
    </xdr:from>
    <xdr:to>
      <xdr:col>15</xdr:col>
      <xdr:colOff>33051</xdr:colOff>
      <xdr:row>4</xdr:row>
      <xdr:rowOff>119902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12458388" y="119902"/>
          <a:ext cx="3529038" cy="762000"/>
          <a:chOff x="16525022" y="1580029"/>
          <a:chExt cx="3232091" cy="851647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16551477" y="1580029"/>
            <a:ext cx="3148463" cy="851647"/>
          </a:xfrm>
          <a:prstGeom prst="roundRect">
            <a:avLst>
              <a:gd name="adj" fmla="val 8712"/>
            </a:avLst>
          </a:prstGeom>
          <a:solidFill>
            <a:srgbClr val="32235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6" name="Graphic 5" descr="Users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6525022" y="1770610"/>
            <a:ext cx="542313" cy="475202"/>
          </a:xfrm>
          <a:prstGeom prst="rect">
            <a:avLst/>
          </a:prstGeom>
        </xdr:spPr>
      </xdr:pic>
      <xdr:sp macro="" textlink="$O$18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18446587" y="1766365"/>
            <a:ext cx="1310526" cy="648261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AC47977-1D19-4988-9B02-2EFAAD745A20}" type="TxLink">
              <a:rPr lang="en-US" sz="3600" b="1" i="0" u="none" strike="noStrike">
                <a:solidFill>
                  <a:schemeClr val="bg1"/>
                </a:solidFill>
                <a:latin typeface="Roboto Condensed"/>
                <a:ea typeface="Roboto Condensed"/>
                <a:cs typeface="Calibri"/>
              </a:rPr>
              <a:pPr algn="ctr"/>
              <a:t>19</a:t>
            </a:fld>
            <a:endParaRPr lang="en-US" sz="13800" b="1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18605846" y="1615543"/>
            <a:ext cx="930671" cy="27518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r>
              <a:rPr lang="en-US" sz="1200" b="1">
                <a:solidFill>
                  <a:schemeClr val="bg1">
                    <a:lumMod val="95000"/>
                  </a:schemeClr>
                </a:solidFill>
                <a:latin typeface="Aharoni" pitchFamily="2" charset="-79"/>
                <a:ea typeface="Roboto Condensed" panose="02000000000000000000" pitchFamily="2" charset="0"/>
                <a:cs typeface="Aharoni" pitchFamily="2" charset="-79"/>
              </a:rPr>
              <a:t>Total</a:t>
            </a:r>
            <a:r>
              <a:rPr lang="en-US" sz="1200" b="1" baseline="0">
                <a:solidFill>
                  <a:schemeClr val="bg1">
                    <a:lumMod val="95000"/>
                  </a:schemeClr>
                </a:solidFill>
                <a:latin typeface="Aharoni" pitchFamily="2" charset="-79"/>
                <a:ea typeface="Roboto Condensed" panose="02000000000000000000" pitchFamily="2" charset="0"/>
                <a:cs typeface="Aharoni" pitchFamily="2" charset="-79"/>
              </a:rPr>
              <a:t> Siswa</a:t>
            </a:r>
            <a:endParaRPr lang="en-US" sz="1200" b="1">
              <a:solidFill>
                <a:schemeClr val="bg1">
                  <a:lumMod val="95000"/>
                </a:schemeClr>
              </a:solidFill>
              <a:latin typeface="Aharoni" pitchFamily="2" charset="-79"/>
              <a:ea typeface="Roboto Condensed" panose="02000000000000000000" pitchFamily="2" charset="0"/>
              <a:cs typeface="Aharoni" pitchFamily="2" charset="-79"/>
            </a:endParaRPr>
          </a:p>
        </xdr:txBody>
      </xdr:sp>
    </xdr:grpSp>
    <xdr:clientData/>
  </xdr:twoCellAnchor>
  <xdr:twoCellAnchor>
    <xdr:from>
      <xdr:col>0</xdr:col>
      <xdr:colOff>90488</xdr:colOff>
      <xdr:row>25</xdr:row>
      <xdr:rowOff>120016</xdr:rowOff>
    </xdr:from>
    <xdr:to>
      <xdr:col>0</xdr:col>
      <xdr:colOff>1943100</xdr:colOff>
      <xdr:row>27</xdr:row>
      <xdr:rowOff>123391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90488" y="5034916"/>
          <a:ext cx="1852612" cy="384375"/>
          <a:chOff x="90488" y="5034916"/>
          <a:chExt cx="1852612" cy="384375"/>
        </a:xfrm>
      </xdr:grpSpPr>
      <xdr:grpSp>
        <xdr:nvGrpSpPr>
          <xdr:cNvPr id="61" name="Group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GrpSpPr/>
        </xdr:nvGrpSpPr>
        <xdr:grpSpPr>
          <a:xfrm>
            <a:off x="90488" y="5034916"/>
            <a:ext cx="1852612" cy="384375"/>
            <a:chOff x="10210800" y="336402"/>
            <a:chExt cx="2163142" cy="420865"/>
          </a:xfrm>
        </xdr:grpSpPr>
        <xdr:sp macro="[0]!MenuF" textlink="">
          <xdr:nvSpPr>
            <xdr:cNvPr id="32" name="MENU6">
              <a:extLst>
                <a:ext uri="{FF2B5EF4-FFF2-40B4-BE49-F238E27FC236}">
                  <a16:creationId xmlns:a16="http://schemas.microsoft.com/office/drawing/2014/main" id="{00000000-0008-0000-0000-000020000000}"/>
                </a:ext>
              </a:extLst>
            </xdr:cNvPr>
            <xdr:cNvSpPr/>
          </xdr:nvSpPr>
          <xdr:spPr>
            <a:xfrm>
              <a:off x="10210800" y="336402"/>
              <a:ext cx="2163142" cy="420865"/>
            </a:xfrm>
            <a:prstGeom prst="rect">
              <a:avLst/>
            </a:prstGeom>
            <a:solidFill>
              <a:srgbClr val="32235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MenuF" textlink="">
          <xdr:nvSpPr>
            <xdr:cNvPr id="48" name="TextBox 47">
              <a:extLst>
                <a:ext uri="{FF2B5EF4-FFF2-40B4-BE49-F238E27FC236}">
                  <a16:creationId xmlns:a16="http://schemas.microsoft.com/office/drawing/2014/main" id="{00000000-0008-0000-0000-000030000000}"/>
                </a:ext>
              </a:extLst>
            </xdr:cNvPr>
            <xdr:cNvSpPr txBox="1"/>
          </xdr:nvSpPr>
          <xdr:spPr>
            <a:xfrm>
              <a:off x="10773435" y="406654"/>
              <a:ext cx="1032870" cy="2948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chemeClr val="bg1"/>
                  </a:solidFill>
                  <a:latin typeface="Times New Roman" pitchFamily="18" charset="0"/>
                  <a:ea typeface="Roboto Condensed" panose="02000000000000000000" pitchFamily="2" charset="0"/>
                  <a:cs typeface="Times New Roman" pitchFamily="18" charset="0"/>
                </a:rPr>
                <a:t>Keluar</a:t>
              </a:r>
            </a:p>
          </xdr:txBody>
        </xdr:sp>
      </xdr:grpSp>
      <xdr:pic macro="[0]!MenuF">
        <xdr:nvPicPr>
          <xdr:cNvPr id="33" name="Graphic 32" descr="Power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227679" y="5086315"/>
            <a:ext cx="345084" cy="277427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11765</xdr:colOff>
      <xdr:row>0</xdr:row>
      <xdr:rowOff>60792</xdr:rowOff>
    </xdr:from>
    <xdr:to>
      <xdr:col>3</xdr:col>
      <xdr:colOff>888629</xdr:colOff>
      <xdr:row>4</xdr:row>
      <xdr:rowOff>194702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2154890" y="60792"/>
          <a:ext cx="3210489" cy="895910"/>
          <a:chOff x="3082177" y="67796"/>
          <a:chExt cx="3648596" cy="985557"/>
        </a:xfrm>
      </xdr:grpSpPr>
      <xdr:sp macro="" textlink="">
        <xdr:nvSpPr>
          <xdr:cNvPr id="71" name="Rectangle: Rounded Corners 10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SpPr/>
        </xdr:nvSpPr>
        <xdr:spPr>
          <a:xfrm>
            <a:off x="3082177" y="67796"/>
            <a:ext cx="3558812" cy="985557"/>
          </a:xfrm>
          <a:prstGeom prst="roundRect">
            <a:avLst>
              <a:gd name="adj" fmla="val 12605"/>
            </a:avLst>
          </a:prstGeom>
          <a:solidFill>
            <a:srgbClr val="32235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2" name="Rectangle: Rounded Corners 25">
            <a:extLst>
              <a:ext uri="{FF2B5EF4-FFF2-40B4-BE49-F238E27FC236}">
                <a16:creationId xmlns:a16="http://schemas.microsoft.com/office/drawing/2014/main" id="{00000000-0008-0000-0000-000048000000}"/>
              </a:ext>
            </a:extLst>
          </xdr:cNvPr>
          <xdr:cNvSpPr/>
        </xdr:nvSpPr>
        <xdr:spPr>
          <a:xfrm>
            <a:off x="3181351" y="201145"/>
            <a:ext cx="729502" cy="728943"/>
          </a:xfrm>
          <a:prstGeom prst="roundRect">
            <a:avLst/>
          </a:prstGeom>
          <a:solidFill>
            <a:srgbClr val="FF993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19" name="Group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GrpSpPr/>
        </xdr:nvGrpSpPr>
        <xdr:grpSpPr>
          <a:xfrm>
            <a:off x="3206734" y="233080"/>
            <a:ext cx="615618" cy="658051"/>
            <a:chOff x="10730183" y="3267075"/>
            <a:chExt cx="529376" cy="648028"/>
          </a:xfrm>
        </xdr:grpSpPr>
        <xdr:pic>
          <xdr:nvPicPr>
            <xdr:cNvPr id="13" name="Graphic 12" descr="Male profile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7"/>
                </a:ext>
              </a:extLst>
            </a:blip>
            <a:stretch>
              <a:fillRect/>
            </a:stretch>
          </xdr:blipFill>
          <xdr:spPr>
            <a:xfrm>
              <a:off x="10765612" y="3267075"/>
              <a:ext cx="462000" cy="462000"/>
            </a:xfrm>
            <a:prstGeom prst="rect">
              <a:avLst/>
            </a:prstGeom>
          </xdr:spPr>
        </xdr:pic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 txBox="1"/>
          </xdr:nvSpPr>
          <xdr:spPr>
            <a:xfrm>
              <a:off x="10730183" y="3657604"/>
              <a:ext cx="529376" cy="2574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sz="1000" b="1">
                  <a:solidFill>
                    <a:schemeClr val="bg1"/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Kelas 10</a:t>
              </a:r>
            </a:p>
          </xdr:txBody>
        </xdr:sp>
      </xdr:grpSp>
      <xdr:sp macro="" textlink="$N$9">
        <xdr:nvSpPr>
          <xdr:cNvPr id="24" name="Rectangle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3878676" y="412937"/>
            <a:ext cx="1719701" cy="4162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76B8F9F0-65BD-4363-8C46-5962A08C6096}" type="TxLink">
              <a:rPr lang="en-US" sz="1800" b="0" i="0" u="none" strike="noStrik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Calibri"/>
              </a:rPr>
              <a:pPr algn="l"/>
              <a:t> Rp-   </a:t>
            </a:fld>
            <a:endParaRPr lang="en-US" sz="1800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sp macro="" textlink="">
        <xdr:nvSpPr>
          <xdr:cNvPr id="65" name="TextBox 64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 txBox="1"/>
        </xdr:nvSpPr>
        <xdr:spPr>
          <a:xfrm>
            <a:off x="3935826" y="251012"/>
            <a:ext cx="1101937" cy="26484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000" b="1">
                <a:solidFill>
                  <a:schemeClr val="bg1"/>
                </a:solidFill>
                <a:latin typeface="Aharoni" pitchFamily="2" charset="-79"/>
                <a:ea typeface="Roboto Condensed" panose="02000000000000000000" pitchFamily="2" charset="0"/>
                <a:cs typeface="Aharoni" pitchFamily="2" charset="-79"/>
              </a:rPr>
              <a:t>Total Bayar</a:t>
            </a:r>
          </a:p>
        </xdr:txBody>
      </xdr:sp>
      <xdr:sp macro="" textlink="$O$9">
        <xdr:nvSpPr>
          <xdr:cNvPr id="57" name="Rectangle 56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SpPr/>
        </xdr:nvSpPr>
        <xdr:spPr>
          <a:xfrm>
            <a:off x="5093593" y="396854"/>
            <a:ext cx="1637180" cy="41293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AE5EE402-84DE-475B-B267-0F8F8D0B86A9}" type="TxLink">
              <a:rPr lang="en-US" sz="1800" b="0" i="0" u="none" strike="noStrik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Calibri"/>
              </a:rPr>
              <a:pPr algn="l"/>
              <a:t> Rp1.800.000 </a:t>
            </a:fld>
            <a:endParaRPr lang="en-US" sz="1800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5141218" y="231566"/>
            <a:ext cx="1113304" cy="26484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 b="1">
                <a:solidFill>
                  <a:schemeClr val="bg1"/>
                </a:solidFill>
                <a:latin typeface="Aharoni" pitchFamily="2" charset="-79"/>
                <a:ea typeface="Roboto Condensed" panose="02000000000000000000" pitchFamily="2" charset="0"/>
                <a:cs typeface="Aharoni" pitchFamily="2" charset="-79"/>
              </a:rPr>
              <a:t>Total Kurang</a:t>
            </a:r>
          </a:p>
        </xdr:txBody>
      </xdr:sp>
    </xdr:grpSp>
    <xdr:clientData/>
  </xdr:twoCellAnchor>
  <xdr:twoCellAnchor editAs="absolute">
    <xdr:from>
      <xdr:col>3</xdr:col>
      <xdr:colOff>862853</xdr:colOff>
      <xdr:row>0</xdr:row>
      <xdr:rowOff>51267</xdr:rowOff>
    </xdr:from>
    <xdr:to>
      <xdr:col>6</xdr:col>
      <xdr:colOff>845486</xdr:colOff>
      <xdr:row>4</xdr:row>
      <xdr:rowOff>185177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339603" y="51267"/>
          <a:ext cx="3163983" cy="895910"/>
          <a:chOff x="6889378" y="58271"/>
          <a:chExt cx="3633038" cy="985557"/>
        </a:xfrm>
      </xdr:grpSpPr>
      <xdr:sp macro="" textlink="">
        <xdr:nvSpPr>
          <xdr:cNvPr id="73" name="Rectangle: Rounded Corners 10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6889378" y="58271"/>
            <a:ext cx="3596313" cy="985557"/>
          </a:xfrm>
          <a:prstGeom prst="roundRect">
            <a:avLst>
              <a:gd name="adj" fmla="val 12605"/>
            </a:avLst>
          </a:prstGeom>
          <a:solidFill>
            <a:srgbClr val="32235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6" name="Rectangle: Rounded Corners 25">
            <a:extLst>
              <a:ext uri="{FF2B5EF4-FFF2-40B4-BE49-F238E27FC236}">
                <a16:creationId xmlns:a16="http://schemas.microsoft.com/office/drawing/2014/main" id="{00000000-0008-0000-0000-00004C000000}"/>
              </a:ext>
            </a:extLst>
          </xdr:cNvPr>
          <xdr:cNvSpPr/>
        </xdr:nvSpPr>
        <xdr:spPr>
          <a:xfrm>
            <a:off x="6969502" y="201145"/>
            <a:ext cx="725580" cy="728943"/>
          </a:xfrm>
          <a:prstGeom prst="roundRect">
            <a:avLst/>
          </a:prstGeom>
          <a:solidFill>
            <a:srgbClr val="FF993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21" name="Group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GrpSpPr/>
        </xdr:nvGrpSpPr>
        <xdr:grpSpPr>
          <a:xfrm>
            <a:off x="7025248" y="223600"/>
            <a:ext cx="612016" cy="645442"/>
            <a:chOff x="10728297" y="3969525"/>
            <a:chExt cx="533445" cy="635357"/>
          </a:xfrm>
        </xdr:grpSpPr>
        <xdr:pic>
          <xdr:nvPicPr>
            <xdr:cNvPr id="15" name="Graphic 14" descr="Female Profile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9"/>
                </a:ext>
              </a:extLst>
            </a:blip>
            <a:stretch>
              <a:fillRect/>
            </a:stretch>
          </xdr:blipFill>
          <xdr:spPr>
            <a:xfrm>
              <a:off x="10765612" y="3969525"/>
              <a:ext cx="462000" cy="462000"/>
            </a:xfrm>
            <a:prstGeom prst="rect">
              <a:avLst/>
            </a:prstGeom>
          </xdr:spPr>
        </xdr:pic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SpPr txBox="1"/>
          </xdr:nvSpPr>
          <xdr:spPr>
            <a:xfrm>
              <a:off x="10728297" y="4343400"/>
              <a:ext cx="533445" cy="2614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sz="1000" b="1">
                  <a:solidFill>
                    <a:schemeClr val="bg1"/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Kelas 11</a:t>
              </a:r>
            </a:p>
          </xdr:txBody>
        </xdr:sp>
      </xdr:grpSp>
      <xdr:sp macro="" textlink="$N$10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7654741" y="365312"/>
            <a:ext cx="1726266" cy="4162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40819DF7-170E-4ED8-B000-4F2F7EB61789}" type="TxLink">
              <a:rPr lang="en-US" sz="1800" b="0" i="0" u="none" strike="noStrik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Calibri"/>
              </a:rPr>
              <a:pPr algn="l"/>
              <a:t> Rp-   </a:t>
            </a:fld>
            <a:endParaRPr lang="en-US" sz="3200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sp macro="" textlink="$O$10">
        <xdr:nvSpPr>
          <xdr:cNvPr id="62" name="Rectangle 61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/>
        </xdr:nvSpPr>
        <xdr:spPr>
          <a:xfrm>
            <a:off x="8886918" y="355656"/>
            <a:ext cx="1635498" cy="4162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8E6F2E76-7348-4F25-A27B-53BAEB759A14}" type="TxLink">
              <a:rPr lang="en-US" sz="1800" b="0" i="0" u="none" strike="noStrik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Calibri"/>
              </a:rPr>
              <a:pPr algn="l"/>
              <a:t> Rp6.600.000 </a:t>
            </a:fld>
            <a:endParaRPr lang="en-US" sz="3200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sp macro="" textlink="">
        <xdr:nvSpPr>
          <xdr:cNvPr id="67" name="TextBox 66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SpPr txBox="1"/>
        </xdr:nvSpPr>
        <xdr:spPr>
          <a:xfrm>
            <a:off x="7711891" y="212912"/>
            <a:ext cx="1107141" cy="26484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000" b="1">
                <a:solidFill>
                  <a:schemeClr val="bg1"/>
                </a:solidFill>
                <a:latin typeface="Aharoni" pitchFamily="2" charset="-79"/>
                <a:ea typeface="Roboto Condensed" panose="02000000000000000000" pitchFamily="2" charset="0"/>
                <a:cs typeface="Aharoni" pitchFamily="2" charset="-79"/>
              </a:rPr>
              <a:t>Total Bayar</a:t>
            </a:r>
          </a:p>
        </xdr:txBody>
      </xdr:sp>
      <xdr:sp macro="" textlink="">
        <xdr:nvSpPr>
          <xdr:cNvPr id="68" name="TextBox 67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8944067" y="190368"/>
            <a:ext cx="1111624" cy="2682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 b="1">
                <a:solidFill>
                  <a:schemeClr val="bg1"/>
                </a:solidFill>
                <a:latin typeface="Aharoni" pitchFamily="2" charset="-79"/>
                <a:ea typeface="Roboto Condensed" panose="02000000000000000000" pitchFamily="2" charset="0"/>
                <a:cs typeface="Aharoni" pitchFamily="2" charset="-79"/>
              </a:rPr>
              <a:t>Total Kurang</a:t>
            </a:r>
          </a:p>
        </xdr:txBody>
      </xdr:sp>
    </xdr:grpSp>
    <xdr:clientData/>
  </xdr:twoCellAnchor>
  <xdr:twoCellAnchor editAs="absolute">
    <xdr:from>
      <xdr:col>6</xdr:col>
      <xdr:colOff>857814</xdr:colOff>
      <xdr:row>0</xdr:row>
      <xdr:rowOff>51267</xdr:rowOff>
    </xdr:from>
    <xdr:to>
      <xdr:col>10</xdr:col>
      <xdr:colOff>57151</xdr:colOff>
      <xdr:row>4</xdr:row>
      <xdr:rowOff>185177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8515914" y="51267"/>
          <a:ext cx="3761812" cy="895910"/>
          <a:chOff x="10780059" y="53788"/>
          <a:chExt cx="3641294" cy="985557"/>
        </a:xfrm>
      </xdr:grpSpPr>
      <xdr:sp macro="" textlink="">
        <xdr:nvSpPr>
          <xdr:cNvPr id="77" name="Rectangle: Rounded Corners 10">
            <a:extLst>
              <a:ext uri="{FF2B5EF4-FFF2-40B4-BE49-F238E27FC236}">
                <a16:creationId xmlns:a16="http://schemas.microsoft.com/office/drawing/2014/main" id="{00000000-0008-0000-0000-00004D000000}"/>
              </a:ext>
            </a:extLst>
          </xdr:cNvPr>
          <xdr:cNvSpPr/>
        </xdr:nvSpPr>
        <xdr:spPr>
          <a:xfrm>
            <a:off x="10780059" y="53788"/>
            <a:ext cx="3576176" cy="985557"/>
          </a:xfrm>
          <a:prstGeom prst="roundRect">
            <a:avLst>
              <a:gd name="adj" fmla="val 12605"/>
            </a:avLst>
          </a:prstGeom>
          <a:solidFill>
            <a:srgbClr val="32235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8" name="Rectangle: Rounded Corners 25">
            <a:extLst>
              <a:ext uri="{FF2B5EF4-FFF2-40B4-BE49-F238E27FC236}">
                <a16:creationId xmlns:a16="http://schemas.microsoft.com/office/drawing/2014/main" id="{00000000-0008-0000-0000-00004E000000}"/>
              </a:ext>
            </a:extLst>
          </xdr:cNvPr>
          <xdr:cNvSpPr/>
        </xdr:nvSpPr>
        <xdr:spPr>
          <a:xfrm>
            <a:off x="10875867" y="185456"/>
            <a:ext cx="725580" cy="728943"/>
          </a:xfrm>
          <a:prstGeom prst="roundRect">
            <a:avLst/>
          </a:prstGeom>
          <a:solidFill>
            <a:srgbClr val="FF993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23" name="Group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GrpSpPr/>
        </xdr:nvGrpSpPr>
        <xdr:grpSpPr>
          <a:xfrm>
            <a:off x="10935249" y="208668"/>
            <a:ext cx="615938" cy="653292"/>
            <a:chOff x="10739699" y="4671975"/>
            <a:chExt cx="529690" cy="643270"/>
          </a:xfrm>
        </xdr:grpSpPr>
        <xdr:pic>
          <xdr:nvPicPr>
            <xdr:cNvPr id="17" name="Graphic 16" descr="School boy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1"/>
                </a:ext>
              </a:extLst>
            </a:blip>
            <a:stretch>
              <a:fillRect/>
            </a:stretch>
          </xdr:blipFill>
          <xdr:spPr>
            <a:xfrm>
              <a:off x="10765612" y="4671975"/>
              <a:ext cx="462000" cy="462000"/>
            </a:xfrm>
            <a:prstGeom prst="rect">
              <a:avLst/>
            </a:prstGeom>
          </xdr:spPr>
        </xdr:pic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00000000-0008-0000-0000-000036000000}"/>
                </a:ext>
              </a:extLst>
            </xdr:cNvPr>
            <xdr:cNvSpPr txBox="1"/>
          </xdr:nvSpPr>
          <xdr:spPr>
            <a:xfrm>
              <a:off x="10739699" y="5057775"/>
              <a:ext cx="529690" cy="2574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sz="1000" b="1">
                  <a:solidFill>
                    <a:schemeClr val="bg1"/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Kelas 12</a:t>
              </a:r>
            </a:p>
          </xdr:txBody>
        </xdr:sp>
      </xdr:grpSp>
      <xdr:sp macro="" textlink="$N$11">
        <xdr:nvSpPr>
          <xdr:cNvPr id="63" name="Rectangle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SpPr/>
        </xdr:nvSpPr>
        <xdr:spPr>
          <a:xfrm>
            <a:off x="11581037" y="415659"/>
            <a:ext cx="1722103" cy="4162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5F3A9FFD-BE4D-45E9-AECA-207236414893}" type="TxLink">
              <a:rPr lang="en-US" sz="1800" b="0" i="0" u="none" strike="noStrik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Calibri"/>
              </a:rPr>
              <a:pPr algn="l"/>
              <a:t> Rp-   </a:t>
            </a:fld>
            <a:endParaRPr lang="en-US" sz="3200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sp macro="" textlink="$O$11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/>
        </xdr:nvSpPr>
        <xdr:spPr>
          <a:xfrm>
            <a:off x="12786256" y="415659"/>
            <a:ext cx="1635097" cy="4162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958E0CC0-2BF2-49C4-9617-C3B1C32E109B}" type="TxLink">
              <a:rPr lang="en-US" sz="1800" b="0" i="0" u="none" strike="noStrik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Calibri"/>
              </a:rPr>
              <a:pPr algn="l"/>
              <a:t> Rp5.040.000 </a:t>
            </a:fld>
            <a:endParaRPr lang="en-US" sz="3200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sp macro="" textlink="">
        <xdr:nvSpPr>
          <xdr:cNvPr id="69" name="TextBox 68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11623619" y="268702"/>
            <a:ext cx="1106740" cy="26484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000" b="1">
                <a:solidFill>
                  <a:schemeClr val="bg1"/>
                </a:solidFill>
                <a:latin typeface="Aharoni" pitchFamily="2" charset="-79"/>
                <a:ea typeface="Roboto Condensed" panose="02000000000000000000" pitchFamily="2" charset="0"/>
                <a:cs typeface="Aharoni" pitchFamily="2" charset="-79"/>
              </a:rPr>
              <a:t>Total Bayar</a:t>
            </a:r>
          </a:p>
        </xdr:txBody>
      </xdr:sp>
      <xdr:sp macro="" textlink="">
        <xdr:nvSpPr>
          <xdr:cNvPr id="70" name="TextBox 69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12835560" y="259177"/>
            <a:ext cx="1112023" cy="26484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 b="1">
                <a:solidFill>
                  <a:schemeClr val="bg1"/>
                </a:solidFill>
                <a:latin typeface="Aharoni" pitchFamily="2" charset="-79"/>
                <a:ea typeface="Roboto Condensed" panose="02000000000000000000" pitchFamily="2" charset="0"/>
                <a:cs typeface="Aharoni" pitchFamily="2" charset="-79"/>
              </a:rPr>
              <a:t>Total Kurang</a:t>
            </a:r>
          </a:p>
        </xdr:txBody>
      </xdr:sp>
    </xdr:grpSp>
    <xdr:clientData/>
  </xdr:twoCellAnchor>
  <xdr:twoCellAnchor>
    <xdr:from>
      <xdr:col>11</xdr:col>
      <xdr:colOff>391645</xdr:colOff>
      <xdr:row>1</xdr:row>
      <xdr:rowOff>99378</xdr:rowOff>
    </xdr:from>
    <xdr:to>
      <xdr:col>13</xdr:col>
      <xdr:colOff>110938</xdr:colOff>
      <xdr:row>4</xdr:row>
      <xdr:rowOff>107901</xdr:rowOff>
    </xdr:to>
    <xdr:sp macro="" textlink="$M$18">
      <xdr:nvSpPr>
        <xdr:cNvPr id="74" name="Rectangle: Rounded Corners 7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>
        <a:xfrm>
          <a:off x="12202645" y="308928"/>
          <a:ext cx="1109943" cy="637173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78437101-6F14-46AF-9AEB-6CB077B8B7D9}" type="TxLink">
            <a:rPr lang="en-US" sz="2000" b="1" i="0" u="none" strike="noStrike">
              <a:solidFill>
                <a:schemeClr val="bg1"/>
              </a:solidFill>
              <a:latin typeface="Roboto Condensed"/>
              <a:ea typeface="Roboto Condensed"/>
              <a:cs typeface="Calibri"/>
            </a:rPr>
            <a:pPr marL="0" indent="0" algn="ctr"/>
            <a:t>10</a:t>
          </a:fld>
          <a:endParaRPr lang="en-US" sz="2000" b="1" i="0" u="none" strike="noStrike">
            <a:solidFill>
              <a:schemeClr val="bg1"/>
            </a:solidFill>
            <a:latin typeface="Roboto Condensed"/>
            <a:ea typeface="Roboto Condensed"/>
            <a:cs typeface="Calibri"/>
          </a:endParaRPr>
        </a:p>
      </xdr:txBody>
    </xdr:sp>
    <xdr:clientData/>
  </xdr:twoCellAnchor>
  <xdr:twoCellAnchor>
    <xdr:from>
      <xdr:col>11</xdr:col>
      <xdr:colOff>371475</xdr:colOff>
      <xdr:row>0</xdr:row>
      <xdr:rowOff>153520</xdr:rowOff>
    </xdr:from>
    <xdr:to>
      <xdr:col>12</xdr:col>
      <xdr:colOff>544337</xdr:colOff>
      <xdr:row>2</xdr:row>
      <xdr:rowOff>21566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12753975" y="153520"/>
          <a:ext cx="868187" cy="2490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id-ID" sz="1200" b="1">
              <a:solidFill>
                <a:srgbClr val="FFC000"/>
              </a:solidFill>
              <a:latin typeface="Aharoni" pitchFamily="2" charset="-79"/>
              <a:ea typeface="Roboto Condensed" panose="02000000000000000000" pitchFamily="2" charset="0"/>
              <a:cs typeface="Aharoni" pitchFamily="2" charset="-79"/>
            </a:rPr>
            <a:t>Laki - Laki</a:t>
          </a:r>
          <a:endParaRPr lang="en-US" sz="1200" b="1">
            <a:solidFill>
              <a:srgbClr val="FFC000"/>
            </a:solidFill>
            <a:latin typeface="Aharoni" pitchFamily="2" charset="-79"/>
            <a:ea typeface="Roboto Condensed" panose="02000000000000000000" pitchFamily="2" charset="0"/>
            <a:cs typeface="Aharoni" pitchFamily="2" charset="-79"/>
          </a:endParaRPr>
        </a:p>
      </xdr:txBody>
    </xdr:sp>
    <xdr:clientData/>
  </xdr:twoCellAnchor>
  <xdr:twoCellAnchor>
    <xdr:from>
      <xdr:col>12</xdr:col>
      <xdr:colOff>277345</xdr:colOff>
      <xdr:row>1</xdr:row>
      <xdr:rowOff>89853</xdr:rowOff>
    </xdr:from>
    <xdr:to>
      <xdr:col>13</xdr:col>
      <xdr:colOff>691963</xdr:colOff>
      <xdr:row>4</xdr:row>
      <xdr:rowOff>98376</xdr:rowOff>
    </xdr:to>
    <xdr:sp macro="" textlink="$N$18">
      <xdr:nvSpPr>
        <xdr:cNvPr id="80" name="Rectangle: Rounded Corners 7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/>
      </xdr:nvSpPr>
      <xdr:spPr>
        <a:xfrm>
          <a:off x="12783670" y="299403"/>
          <a:ext cx="1109943" cy="637173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FC921B34-37D0-4950-8529-0E31783F04A8}" type="TxLink">
            <a:rPr lang="en-US" sz="2000" b="1" i="0" u="none" strike="noStrike">
              <a:solidFill>
                <a:schemeClr val="bg1"/>
              </a:solidFill>
              <a:latin typeface="Roboto Condensed"/>
              <a:ea typeface="Roboto Condensed"/>
              <a:cs typeface="Calibri"/>
            </a:rPr>
            <a:pPr marL="0" indent="0" algn="ctr"/>
            <a:t>9</a:t>
          </a:fld>
          <a:endParaRPr lang="en-US" sz="2000" b="1" i="0" u="none" strike="noStrike">
            <a:solidFill>
              <a:schemeClr val="bg1"/>
            </a:solidFill>
            <a:latin typeface="Roboto Condensed"/>
            <a:ea typeface="Roboto Condensed"/>
            <a:cs typeface="Calibri"/>
          </a:endParaRPr>
        </a:p>
      </xdr:txBody>
    </xdr:sp>
    <xdr:clientData/>
  </xdr:twoCellAnchor>
  <xdr:twoCellAnchor>
    <xdr:from>
      <xdr:col>12</xdr:col>
      <xdr:colOff>482975</xdr:colOff>
      <xdr:row>0</xdr:row>
      <xdr:rowOff>143995</xdr:rowOff>
    </xdr:from>
    <xdr:to>
      <xdr:col>14</xdr:col>
      <xdr:colOff>0</xdr:colOff>
      <xdr:row>2</xdr:row>
      <xdr:rowOff>12041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 txBox="1"/>
      </xdr:nvSpPr>
      <xdr:spPr>
        <a:xfrm>
          <a:off x="13560800" y="143995"/>
          <a:ext cx="1012450" cy="2490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200" b="1">
              <a:solidFill>
                <a:srgbClr val="FFC000"/>
              </a:solidFill>
              <a:latin typeface="Aharoni" pitchFamily="2" charset="-79"/>
              <a:ea typeface="Roboto Condensed" panose="02000000000000000000" pitchFamily="2" charset="0"/>
              <a:cs typeface="Aharoni" pitchFamily="2" charset="-79"/>
            </a:rPr>
            <a:t>Perempuan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171450</xdr:colOff>
      <xdr:row>0</xdr:row>
      <xdr:rowOff>142875</xdr:rowOff>
    </xdr:from>
    <xdr:to>
      <xdr:col>16</xdr:col>
      <xdr:colOff>781050</xdr:colOff>
      <xdr:row>2</xdr:row>
      <xdr:rowOff>123825</xdr:rowOff>
    </xdr:to>
    <xdr:sp macro="[0]!MenuUtama" textlink="">
      <xdr:nvSpPr>
        <xdr:cNvPr id="6" name="Arrow: Pentago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 flipH="1">
          <a:off x="12858750" y="142875"/>
          <a:ext cx="1409700" cy="381000"/>
        </a:xfrm>
        <a:prstGeom prst="homePlate">
          <a:avLst/>
        </a:prstGeom>
        <a:solidFill>
          <a:srgbClr val="11082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100" b="1">
              <a:latin typeface="Arial Black" pitchFamily="34" charset="0"/>
              <a:ea typeface="Roboto Condensed" panose="02000000000000000000" pitchFamily="2" charset="0"/>
            </a:rPr>
            <a:t>Back to Menu</a:t>
          </a:r>
          <a:endParaRPr lang="en-US" sz="1100" b="1">
            <a:latin typeface="Arial Black" pitchFamily="34" charset="0"/>
            <a:ea typeface="Roboto Condensed" panose="02000000000000000000" pitchFamily="2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704850</xdr:colOff>
      <xdr:row>0</xdr:row>
      <xdr:rowOff>57150</xdr:rowOff>
    </xdr:from>
    <xdr:to>
      <xdr:col>6</xdr:col>
      <xdr:colOff>25908</xdr:colOff>
      <xdr:row>2</xdr:row>
      <xdr:rowOff>57150</xdr:rowOff>
    </xdr:to>
    <xdr:sp macro="[0]!MenuUtama" textlink="">
      <xdr:nvSpPr>
        <xdr:cNvPr id="2" name="Arrow: Pentagon 5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 flipH="1">
          <a:off x="5086350" y="57150"/>
          <a:ext cx="1149858" cy="419100"/>
        </a:xfrm>
        <a:prstGeom prst="homePlate">
          <a:avLst/>
        </a:prstGeom>
        <a:solidFill>
          <a:srgbClr val="11082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100" b="1">
              <a:latin typeface="Agency FB" pitchFamily="34" charset="0"/>
              <a:ea typeface="Roboto Condensed" panose="02000000000000000000" pitchFamily="2" charset="0"/>
              <a:cs typeface="Aharoni" pitchFamily="2" charset="-79"/>
            </a:rPr>
            <a:t>Back to Menu</a:t>
          </a:r>
          <a:endParaRPr lang="en-US" sz="1100" b="1">
            <a:latin typeface="Agency FB" pitchFamily="34" charset="0"/>
            <a:ea typeface="Roboto Condensed" panose="02000000000000000000" pitchFamily="2" charset="0"/>
            <a:cs typeface="Aharoni" pitchFamily="2" charset="-79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209551</xdr:colOff>
      <xdr:row>2</xdr:row>
      <xdr:rowOff>28575</xdr:rowOff>
    </xdr:from>
    <xdr:ext cx="3505200" cy="57958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952876" y="752475"/>
          <a:ext cx="3505200" cy="57958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2800" b="1">
              <a:latin typeface="Roboto Condensed" panose="02000000000000000000" pitchFamily="2" charset="0"/>
              <a:ea typeface="Roboto Condensed" panose="02000000000000000000" pitchFamily="2" charset="0"/>
            </a:rPr>
            <a:t>KWITANSI</a:t>
          </a:r>
          <a:r>
            <a:rPr lang="en-US" sz="2800" b="1" baseline="0">
              <a:latin typeface="Roboto Condensed" panose="02000000000000000000" pitchFamily="2" charset="0"/>
              <a:ea typeface="Roboto Condensed" panose="02000000000000000000" pitchFamily="2" charset="0"/>
            </a:rPr>
            <a:t> PEMBAYARAN</a:t>
          </a:r>
          <a:endParaRPr lang="en-US" sz="2800" b="1"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oneCellAnchor>
  <xdr:twoCellAnchor>
    <xdr:from>
      <xdr:col>11</xdr:col>
      <xdr:colOff>304800</xdr:colOff>
      <xdr:row>0</xdr:row>
      <xdr:rowOff>76200</xdr:rowOff>
    </xdr:from>
    <xdr:to>
      <xdr:col>13</xdr:col>
      <xdr:colOff>340233</xdr:colOff>
      <xdr:row>0</xdr:row>
      <xdr:rowOff>457200</xdr:rowOff>
    </xdr:to>
    <xdr:sp macro="[0]!MenuUtama" textlink="">
      <xdr:nvSpPr>
        <xdr:cNvPr id="3" name="Arrow: Pentagon 5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 flipH="1">
          <a:off x="6534150" y="76200"/>
          <a:ext cx="1302258" cy="381000"/>
        </a:xfrm>
        <a:prstGeom prst="homePlate">
          <a:avLst/>
        </a:prstGeom>
        <a:solidFill>
          <a:srgbClr val="11082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100" b="1">
              <a:latin typeface="Agency FB" pitchFamily="34" charset="0"/>
              <a:ea typeface="Roboto Condensed" panose="02000000000000000000" pitchFamily="2" charset="0"/>
            </a:rPr>
            <a:t>Back to Menu</a:t>
          </a:r>
          <a:endParaRPr lang="en-US" sz="1100" b="1">
            <a:latin typeface="Agency FB" pitchFamily="34" charset="0"/>
            <a:ea typeface="Roboto Condensed" panose="02000000000000000000" pitchFamily="2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O30"/>
  <sheetViews>
    <sheetView showGridLines="0" showRowColHeaders="0" tabSelected="1" zoomScaleNormal="100" workbookViewId="0">
      <pane ySplit="6" topLeftCell="A7" activePane="bottomLeft" state="frozen"/>
      <selection pane="bottomLeft" activeCell="E30" sqref="E30"/>
    </sheetView>
  </sheetViews>
  <sheetFormatPr defaultRowHeight="15"/>
  <cols>
    <col min="1" max="1" width="32.140625" customWidth="1"/>
    <col min="2" max="2" width="14.28515625" style="20" customWidth="1"/>
    <col min="3" max="3" width="20.7109375" style="20" customWidth="1"/>
    <col min="4" max="4" width="13.85546875" style="20" customWidth="1"/>
    <col min="5" max="5" width="11" style="20" customWidth="1"/>
    <col min="6" max="6" width="22.85546875" style="20" customWidth="1"/>
    <col min="7" max="7" width="18.28515625" style="20" customWidth="1"/>
    <col min="8" max="8" width="17.85546875" style="36" customWidth="1"/>
    <col min="9" max="9" width="18.28515625" style="20" customWidth="1"/>
    <col min="10" max="10" width="14" style="39" customWidth="1"/>
    <col min="11" max="11" width="2.42578125" style="19" customWidth="1"/>
    <col min="12" max="13" width="10.42578125" customWidth="1"/>
    <col min="14" max="14" width="12" customWidth="1"/>
    <col min="15" max="15" width="20.7109375" customWidth="1"/>
    <col min="16" max="16" width="13.28515625" customWidth="1"/>
    <col min="17" max="17" width="14.42578125" customWidth="1"/>
  </cols>
  <sheetData>
    <row r="1" spans="2:15">
      <c r="B1" s="19"/>
      <c r="C1" s="19"/>
      <c r="D1" s="19"/>
      <c r="E1" s="19"/>
      <c r="F1" s="19"/>
      <c r="G1" s="19"/>
      <c r="H1" s="35"/>
      <c r="I1" s="19"/>
      <c r="J1" s="37"/>
    </row>
    <row r="2" spans="2:15">
      <c r="B2" s="19"/>
      <c r="C2" s="19"/>
      <c r="D2" s="19"/>
      <c r="E2" s="19"/>
      <c r="F2" s="19"/>
      <c r="G2" s="19"/>
      <c r="H2" s="35"/>
      <c r="I2" s="19"/>
      <c r="J2" s="37"/>
    </row>
    <row r="3" spans="2:15">
      <c r="B3" s="19"/>
      <c r="C3" s="19"/>
      <c r="D3" s="19"/>
      <c r="E3" s="19"/>
      <c r="F3" s="19"/>
      <c r="G3" s="19"/>
      <c r="H3" s="35"/>
      <c r="I3" s="19"/>
      <c r="J3" s="37"/>
    </row>
    <row r="4" spans="2:15">
      <c r="B4" s="19"/>
      <c r="C4" s="19"/>
      <c r="D4" s="19"/>
      <c r="E4" s="19"/>
      <c r="F4" s="19"/>
      <c r="G4" s="19"/>
      <c r="H4" s="35"/>
      <c r="I4" s="19"/>
      <c r="J4" s="37"/>
    </row>
    <row r="5" spans="2:15">
      <c r="B5" s="19"/>
      <c r="C5" s="19"/>
      <c r="D5" s="19"/>
      <c r="E5" s="19"/>
      <c r="F5" s="19"/>
      <c r="G5" s="19"/>
      <c r="H5" s="35"/>
      <c r="I5" s="19"/>
      <c r="J5" s="37"/>
    </row>
    <row r="6" spans="2:15" ht="24" customHeight="1">
      <c r="B6" s="21" t="s">
        <v>48</v>
      </c>
      <c r="C6" s="21" t="s">
        <v>0</v>
      </c>
      <c r="D6" s="21" t="s">
        <v>1</v>
      </c>
      <c r="E6" s="21" t="s">
        <v>2</v>
      </c>
      <c r="F6" s="21" t="s">
        <v>3</v>
      </c>
      <c r="G6" s="21" t="s">
        <v>4</v>
      </c>
      <c r="H6" s="34" t="s">
        <v>5</v>
      </c>
      <c r="I6" s="21" t="s">
        <v>45</v>
      </c>
      <c r="J6" s="38" t="s">
        <v>6</v>
      </c>
      <c r="L6" s="22" t="s">
        <v>57</v>
      </c>
      <c r="M6" s="22"/>
      <c r="N6" s="22"/>
      <c r="O6" s="22"/>
    </row>
    <row r="7" spans="2:15" ht="16.5" customHeight="1">
      <c r="B7" s="20" t="s">
        <v>127</v>
      </c>
      <c r="C7" s="20" t="s">
        <v>238</v>
      </c>
      <c r="D7" s="20" t="s">
        <v>43</v>
      </c>
      <c r="E7" s="20" t="s">
        <v>50</v>
      </c>
      <c r="F7" s="20" t="s">
        <v>116</v>
      </c>
      <c r="G7" s="20" t="s">
        <v>117</v>
      </c>
      <c r="H7" s="36" t="s">
        <v>128</v>
      </c>
      <c r="I7" s="20" t="s">
        <v>118</v>
      </c>
      <c r="J7" s="39" t="s">
        <v>129</v>
      </c>
      <c r="L7" s="40" t="s">
        <v>91</v>
      </c>
    </row>
    <row r="8" spans="2:15">
      <c r="B8" s="20" t="s">
        <v>130</v>
      </c>
      <c r="C8" s="20" t="s">
        <v>131</v>
      </c>
      <c r="D8" s="20" t="s">
        <v>43</v>
      </c>
      <c r="E8" s="20" t="s">
        <v>51</v>
      </c>
      <c r="F8" s="20" t="s">
        <v>132</v>
      </c>
      <c r="G8" s="20" t="s">
        <v>119</v>
      </c>
      <c r="H8" s="36" t="s">
        <v>133</v>
      </c>
      <c r="I8" s="20" t="s">
        <v>120</v>
      </c>
      <c r="J8" s="39" t="s">
        <v>134</v>
      </c>
      <c r="L8" s="24" t="s">
        <v>2</v>
      </c>
      <c r="M8" s="24" t="s">
        <v>56</v>
      </c>
      <c r="N8" s="24" t="s">
        <v>89</v>
      </c>
      <c r="O8" s="24" t="s">
        <v>90</v>
      </c>
    </row>
    <row r="9" spans="2:15">
      <c r="B9" s="20" t="s">
        <v>125</v>
      </c>
      <c r="C9" s="20" t="s">
        <v>121</v>
      </c>
      <c r="D9" s="20" t="s">
        <v>43</v>
      </c>
      <c r="E9" s="20" t="s">
        <v>52</v>
      </c>
      <c r="F9" s="20" t="s">
        <v>135</v>
      </c>
      <c r="G9" s="20" t="s">
        <v>136</v>
      </c>
      <c r="H9" s="36" t="s">
        <v>137</v>
      </c>
      <c r="I9" s="20" t="s">
        <v>122</v>
      </c>
      <c r="J9" s="39" t="s">
        <v>138</v>
      </c>
      <c r="L9" s="41" t="s">
        <v>53</v>
      </c>
      <c r="M9" s="26">
        <v>50000</v>
      </c>
      <c r="N9" s="26">
        <f>SUMIF(DATABAYAR!C5:$C$100000,DASHBOARD!L9,DATABAYAR!P5:$P$100000)</f>
        <v>0</v>
      </c>
      <c r="O9" s="26">
        <f>SUMIF(DATABAYAR!$C$5:$C$100000,DASHBOARD!L9,DATABAYAR!$Q5:$Q$100000)</f>
        <v>1800000</v>
      </c>
    </row>
    <row r="10" spans="2:15">
      <c r="B10" s="20" t="s">
        <v>126</v>
      </c>
      <c r="C10" s="20" t="s">
        <v>139</v>
      </c>
      <c r="D10" s="20" t="s">
        <v>87</v>
      </c>
      <c r="E10" s="20" t="s">
        <v>50</v>
      </c>
      <c r="F10" s="20" t="s">
        <v>140</v>
      </c>
      <c r="G10" s="20" t="s">
        <v>141</v>
      </c>
      <c r="H10" s="36" t="s">
        <v>144</v>
      </c>
      <c r="I10" s="20" t="s">
        <v>142</v>
      </c>
      <c r="J10" s="39" t="s">
        <v>143</v>
      </c>
      <c r="L10" s="41" t="s">
        <v>54</v>
      </c>
      <c r="M10" s="26">
        <v>55000</v>
      </c>
      <c r="N10" s="26">
        <f>SUMIF(DATABAYAR!C6:$C$100000,DASHBOARD!L10,DATABAYAR!P6:$P$100000)</f>
        <v>0</v>
      </c>
      <c r="O10" s="26">
        <f ca="1">SUMIF(DATABAYAR!$C$5:$C$100000,DASHBOARD!L10,DATABAYAR!$Q6:$Q$100000)</f>
        <v>6600000</v>
      </c>
    </row>
    <row r="11" spans="2:15">
      <c r="B11" s="20" t="s">
        <v>145</v>
      </c>
      <c r="C11" s="20" t="s">
        <v>146</v>
      </c>
      <c r="D11" s="20" t="s">
        <v>87</v>
      </c>
      <c r="E11" s="20" t="s">
        <v>51</v>
      </c>
      <c r="F11" s="20" t="s">
        <v>147</v>
      </c>
      <c r="G11" s="20" t="s">
        <v>148</v>
      </c>
      <c r="H11" s="36" t="s">
        <v>149</v>
      </c>
      <c r="I11" s="20" t="s">
        <v>150</v>
      </c>
      <c r="J11" s="39" t="s">
        <v>151</v>
      </c>
      <c r="L11" s="41" t="s">
        <v>55</v>
      </c>
      <c r="M11" s="26">
        <v>60000</v>
      </c>
      <c r="N11" s="26">
        <f>SUMIF(DATABAYAR!C7:$C$100000,DASHBOARD!L11,DATABAYAR!P7:$P$100000)</f>
        <v>0</v>
      </c>
      <c r="O11" s="26">
        <f>SUMIF(DATABAYAR!$C$5:$C$100000,DASHBOARD!L11,DATABAYAR!$Q$5:$Q$100000)</f>
        <v>5040000</v>
      </c>
    </row>
    <row r="12" spans="2:15" ht="16.5" customHeight="1">
      <c r="B12" s="20" t="s">
        <v>152</v>
      </c>
      <c r="C12" s="20" t="s">
        <v>153</v>
      </c>
      <c r="D12" s="20" t="s">
        <v>87</v>
      </c>
      <c r="E12" s="20" t="s">
        <v>52</v>
      </c>
      <c r="F12" s="20" t="s">
        <v>123</v>
      </c>
      <c r="G12" s="20" t="s">
        <v>154</v>
      </c>
      <c r="H12" s="36" t="s">
        <v>155</v>
      </c>
      <c r="I12" s="20" t="s">
        <v>156</v>
      </c>
      <c r="J12" s="39" t="s">
        <v>157</v>
      </c>
    </row>
    <row r="13" spans="2:15">
      <c r="B13" s="20" t="s">
        <v>158</v>
      </c>
      <c r="C13" s="20" t="s">
        <v>159</v>
      </c>
      <c r="D13" s="20" t="s">
        <v>43</v>
      </c>
      <c r="E13" s="20" t="s">
        <v>50</v>
      </c>
      <c r="F13" s="20" t="s">
        <v>160</v>
      </c>
      <c r="G13" s="20" t="s">
        <v>124</v>
      </c>
      <c r="H13" s="36">
        <v>40461</v>
      </c>
      <c r="I13" s="20" t="s">
        <v>161</v>
      </c>
      <c r="J13" s="39" t="s">
        <v>162</v>
      </c>
      <c r="L13" s="40" t="s">
        <v>92</v>
      </c>
    </row>
    <row r="14" spans="2:15">
      <c r="B14" s="20" t="s">
        <v>163</v>
      </c>
      <c r="C14" s="20" t="s">
        <v>164</v>
      </c>
      <c r="D14" s="20" t="s">
        <v>43</v>
      </c>
      <c r="E14" s="20" t="s">
        <v>51</v>
      </c>
      <c r="F14" s="20" t="s">
        <v>165</v>
      </c>
      <c r="G14" s="20" t="s">
        <v>166</v>
      </c>
      <c r="H14" s="36">
        <v>40524</v>
      </c>
      <c r="I14" s="20" t="s">
        <v>167</v>
      </c>
      <c r="J14" s="39" t="s">
        <v>168</v>
      </c>
      <c r="L14" s="24" t="s">
        <v>2</v>
      </c>
      <c r="M14" s="24" t="s">
        <v>43</v>
      </c>
      <c r="N14" s="24" t="s">
        <v>87</v>
      </c>
      <c r="O14" s="24" t="s">
        <v>93</v>
      </c>
    </row>
    <row r="15" spans="2:15">
      <c r="B15" s="20" t="s">
        <v>169</v>
      </c>
      <c r="C15" s="20" t="s">
        <v>170</v>
      </c>
      <c r="D15" s="20" t="s">
        <v>43</v>
      </c>
      <c r="E15" s="20" t="s">
        <v>52</v>
      </c>
      <c r="F15" s="20" t="s">
        <v>171</v>
      </c>
      <c r="G15" s="20" t="s">
        <v>172</v>
      </c>
      <c r="H15" s="36">
        <v>43802</v>
      </c>
      <c r="I15" s="20" t="s">
        <v>173</v>
      </c>
      <c r="J15" s="39" t="s">
        <v>174</v>
      </c>
      <c r="L15" s="41" t="s">
        <v>50</v>
      </c>
      <c r="M15" s="25">
        <f>COUNTIFS($E$7:$E$23000,$L15,$D$7:$D$23000,M$14)</f>
        <v>4</v>
      </c>
      <c r="N15" s="25">
        <f t="shared" ref="N15" si="0">COUNTIFS($E$7:$E$23000,$L15,$D$7:$D$23000,N$14)</f>
        <v>3</v>
      </c>
      <c r="O15" s="25">
        <f>SUM(M15:N15)</f>
        <v>7</v>
      </c>
    </row>
    <row r="16" spans="2:15">
      <c r="B16" s="20" t="s">
        <v>175</v>
      </c>
      <c r="C16" s="20" t="s">
        <v>176</v>
      </c>
      <c r="D16" s="20" t="s">
        <v>87</v>
      </c>
      <c r="E16" s="20" t="s">
        <v>50</v>
      </c>
      <c r="F16" s="20" t="s">
        <v>177</v>
      </c>
      <c r="G16" s="20" t="s">
        <v>88</v>
      </c>
      <c r="H16" s="36" t="s">
        <v>178</v>
      </c>
      <c r="I16" s="20" t="s">
        <v>179</v>
      </c>
      <c r="J16" s="39" t="s">
        <v>180</v>
      </c>
      <c r="L16" s="41" t="s">
        <v>51</v>
      </c>
      <c r="M16" s="25">
        <f t="shared" ref="M16:N17" si="1">COUNTIFS($E$7:$E$23000,$L16,$D$7:$D$23000,M$14)</f>
        <v>3</v>
      </c>
      <c r="N16" s="25">
        <f t="shared" si="1"/>
        <v>3</v>
      </c>
      <c r="O16" s="25">
        <f t="shared" ref="O16:O17" si="2">SUM(M16:N16)</f>
        <v>6</v>
      </c>
    </row>
    <row r="17" spans="2:15">
      <c r="B17" s="20" t="s">
        <v>181</v>
      </c>
      <c r="C17" s="20" t="s">
        <v>182</v>
      </c>
      <c r="D17" s="20" t="s">
        <v>87</v>
      </c>
      <c r="E17" s="20" t="s">
        <v>51</v>
      </c>
      <c r="F17" s="20" t="s">
        <v>183</v>
      </c>
      <c r="G17" s="20" t="s">
        <v>184</v>
      </c>
      <c r="H17" s="36">
        <v>43077</v>
      </c>
      <c r="I17" s="20" t="s">
        <v>185</v>
      </c>
      <c r="J17" s="39" t="s">
        <v>186</v>
      </c>
      <c r="L17" s="41" t="s">
        <v>52</v>
      </c>
      <c r="M17" s="25">
        <f t="shared" si="1"/>
        <v>3</v>
      </c>
      <c r="N17" s="25">
        <f t="shared" si="1"/>
        <v>3</v>
      </c>
      <c r="O17" s="25">
        <f t="shared" si="2"/>
        <v>6</v>
      </c>
    </row>
    <row r="18" spans="2:15">
      <c r="B18" s="20" t="s">
        <v>187</v>
      </c>
      <c r="C18" s="20" t="s">
        <v>188</v>
      </c>
      <c r="D18" s="20" t="s">
        <v>87</v>
      </c>
      <c r="E18" s="20" t="s">
        <v>52</v>
      </c>
      <c r="F18" s="20" t="s">
        <v>189</v>
      </c>
      <c r="G18" s="20" t="s">
        <v>190</v>
      </c>
      <c r="H18" s="36">
        <v>43811</v>
      </c>
      <c r="I18" s="20" t="s">
        <v>191</v>
      </c>
      <c r="J18" s="39" t="s">
        <v>192</v>
      </c>
      <c r="L18" s="41" t="s">
        <v>94</v>
      </c>
      <c r="M18" s="25">
        <f>SUM(M15:M17)</f>
        <v>10</v>
      </c>
      <c r="N18" s="25">
        <f t="shared" ref="N18:O18" si="3">SUM(N15:N17)</f>
        <v>9</v>
      </c>
      <c r="O18" s="25">
        <f t="shared" si="3"/>
        <v>19</v>
      </c>
    </row>
    <row r="19" spans="2:15">
      <c r="B19" s="20" t="s">
        <v>193</v>
      </c>
      <c r="C19" s="20" t="s">
        <v>194</v>
      </c>
      <c r="D19" s="20" t="s">
        <v>43</v>
      </c>
      <c r="E19" s="20" t="s">
        <v>50</v>
      </c>
      <c r="F19" s="20" t="s">
        <v>195</v>
      </c>
      <c r="G19" s="20" t="s">
        <v>196</v>
      </c>
      <c r="H19" s="36">
        <v>40524</v>
      </c>
      <c r="I19" s="20" t="s">
        <v>197</v>
      </c>
      <c r="J19" s="39" t="s">
        <v>198</v>
      </c>
    </row>
    <row r="20" spans="2:15">
      <c r="B20" s="20" t="s">
        <v>199</v>
      </c>
      <c r="C20" s="20" t="s">
        <v>200</v>
      </c>
      <c r="D20" s="20" t="s">
        <v>43</v>
      </c>
      <c r="E20" s="20" t="s">
        <v>51</v>
      </c>
      <c r="F20" s="20" t="s">
        <v>201</v>
      </c>
      <c r="G20" s="20" t="s">
        <v>202</v>
      </c>
      <c r="H20" s="36" t="s">
        <v>203</v>
      </c>
      <c r="I20" s="20" t="s">
        <v>204</v>
      </c>
      <c r="J20" s="39" t="s">
        <v>205</v>
      </c>
    </row>
    <row r="21" spans="2:15">
      <c r="B21" s="20" t="s">
        <v>206</v>
      </c>
      <c r="C21" s="20" t="s">
        <v>207</v>
      </c>
      <c r="D21" s="20" t="s">
        <v>43</v>
      </c>
      <c r="E21" s="20" t="s">
        <v>52</v>
      </c>
      <c r="F21" s="20" t="s">
        <v>208</v>
      </c>
      <c r="G21" s="20" t="s">
        <v>209</v>
      </c>
      <c r="H21" s="36">
        <v>46360</v>
      </c>
      <c r="I21" s="20" t="s">
        <v>210</v>
      </c>
      <c r="J21" s="39" t="s">
        <v>211</v>
      </c>
    </row>
    <row r="22" spans="2:15">
      <c r="B22" s="20" t="s">
        <v>212</v>
      </c>
      <c r="C22" s="20" t="s">
        <v>213</v>
      </c>
      <c r="D22" s="20" t="s">
        <v>87</v>
      </c>
      <c r="E22" s="20" t="s">
        <v>50</v>
      </c>
      <c r="F22" s="20" t="s">
        <v>214</v>
      </c>
      <c r="G22" s="20" t="s">
        <v>215</v>
      </c>
      <c r="H22" s="36" t="s">
        <v>216</v>
      </c>
      <c r="I22" s="20" t="s">
        <v>217</v>
      </c>
      <c r="J22" s="39" t="s">
        <v>218</v>
      </c>
    </row>
    <row r="23" spans="2:15">
      <c r="B23" s="20" t="s">
        <v>219</v>
      </c>
      <c r="C23" s="20" t="s">
        <v>220</v>
      </c>
      <c r="D23" s="20" t="s">
        <v>87</v>
      </c>
      <c r="E23" s="20" t="s">
        <v>51</v>
      </c>
      <c r="F23" s="20" t="s">
        <v>221</v>
      </c>
      <c r="G23" s="20" t="s">
        <v>222</v>
      </c>
      <c r="H23" s="36">
        <v>40524</v>
      </c>
      <c r="I23" s="20" t="s">
        <v>223</v>
      </c>
      <c r="J23" s="39" t="s">
        <v>224</v>
      </c>
    </row>
    <row r="24" spans="2:15">
      <c r="B24" s="20" t="s">
        <v>225</v>
      </c>
      <c r="C24" s="20" t="s">
        <v>226</v>
      </c>
      <c r="D24" s="20" t="s">
        <v>87</v>
      </c>
      <c r="E24" s="20" t="s">
        <v>52</v>
      </c>
      <c r="F24" s="20" t="s">
        <v>227</v>
      </c>
      <c r="G24" s="20" t="s">
        <v>228</v>
      </c>
      <c r="H24" s="36" t="s">
        <v>229</v>
      </c>
      <c r="I24" s="20" t="s">
        <v>230</v>
      </c>
      <c r="J24" s="39" t="s">
        <v>231</v>
      </c>
    </row>
    <row r="25" spans="2:15">
      <c r="B25" s="20" t="s">
        <v>232</v>
      </c>
      <c r="C25" s="20" t="s">
        <v>233</v>
      </c>
      <c r="D25" s="20" t="s">
        <v>43</v>
      </c>
      <c r="E25" s="20" t="s">
        <v>50</v>
      </c>
      <c r="F25" s="20" t="s">
        <v>234</v>
      </c>
      <c r="G25" s="20" t="s">
        <v>235</v>
      </c>
      <c r="H25" s="36">
        <v>37592</v>
      </c>
      <c r="I25" s="20" t="s">
        <v>236</v>
      </c>
      <c r="J25" s="39" t="s">
        <v>237</v>
      </c>
    </row>
    <row r="28" spans="2:15">
      <c r="C28" s="50"/>
    </row>
    <row r="29" spans="2:15">
      <c r="C29" s="50"/>
    </row>
    <row r="30" spans="2:15">
      <c r="C30" s="50"/>
    </row>
  </sheetData>
  <sortState ref="B9:J30">
    <sortCondition ref="E8"/>
  </sortState>
  <conditionalFormatting sqref="B7:J332">
    <cfRule type="expression" dxfId="0" priority="1">
      <formula>B7&lt;&gt;""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AK288"/>
  <sheetViews>
    <sheetView showGridLines="0" showRowColHeaders="0" topLeftCell="I1" workbookViewId="0">
      <selection activeCell="U5" sqref="U5"/>
    </sheetView>
  </sheetViews>
  <sheetFormatPr defaultRowHeight="15"/>
  <cols>
    <col min="1" max="1" width="16.85546875" customWidth="1"/>
    <col min="2" max="2" width="21" customWidth="1"/>
    <col min="3" max="3" width="11.85546875" customWidth="1"/>
    <col min="4" max="15" width="11.7109375" customWidth="1"/>
    <col min="16" max="16" width="12" customWidth="1"/>
    <col min="17" max="17" width="12.140625" customWidth="1"/>
    <col min="18" max="18" width="3.7109375" customWidth="1"/>
    <col min="19" max="19" width="9.140625" customWidth="1"/>
    <col min="20" max="20" width="3.42578125" customWidth="1"/>
    <col min="21" max="21" width="11.85546875" bestFit="1" customWidth="1"/>
    <col min="22" max="22" width="19.85546875" bestFit="1" customWidth="1"/>
    <col min="23" max="23" width="9.7109375" bestFit="1" customWidth="1"/>
    <col min="24" max="24" width="14.7109375" customWidth="1"/>
    <col min="25" max="25" width="12.5703125" customWidth="1"/>
    <col min="26" max="26" width="12.140625" customWidth="1"/>
    <col min="27" max="35" width="9.140625" customWidth="1"/>
    <col min="36" max="37" width="12.28515625" customWidth="1"/>
  </cols>
  <sheetData>
    <row r="2" spans="1:37" ht="16.5" thickBot="1">
      <c r="A2" s="32" t="s">
        <v>58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</row>
    <row r="4" spans="1:37">
      <c r="A4" s="30" t="s">
        <v>48</v>
      </c>
      <c r="B4" s="30" t="s">
        <v>112</v>
      </c>
      <c r="C4" s="30" t="s">
        <v>8</v>
      </c>
      <c r="D4" s="31" t="s">
        <v>9</v>
      </c>
      <c r="E4" s="31" t="s">
        <v>10</v>
      </c>
      <c r="F4" s="31" t="s">
        <v>11</v>
      </c>
      <c r="G4" s="31" t="s">
        <v>12</v>
      </c>
      <c r="H4" s="31" t="s">
        <v>13</v>
      </c>
      <c r="I4" s="31" t="s">
        <v>14</v>
      </c>
      <c r="J4" s="31" t="s">
        <v>15</v>
      </c>
      <c r="K4" s="31" t="s">
        <v>16</v>
      </c>
      <c r="L4" s="31" t="s">
        <v>17</v>
      </c>
      <c r="M4" s="31" t="s">
        <v>18</v>
      </c>
      <c r="N4" s="31" t="s">
        <v>19</v>
      </c>
      <c r="O4" s="31" t="s">
        <v>20</v>
      </c>
      <c r="P4" s="31" t="s">
        <v>49</v>
      </c>
      <c r="Q4" s="31" t="s">
        <v>39</v>
      </c>
      <c r="S4" s="30" t="s">
        <v>8</v>
      </c>
      <c r="U4" s="30" t="s">
        <v>48</v>
      </c>
      <c r="V4" s="30" t="s">
        <v>7</v>
      </c>
      <c r="W4" s="30" t="s">
        <v>8</v>
      </c>
      <c r="X4" s="31" t="s">
        <v>9</v>
      </c>
      <c r="Y4" s="31" t="s">
        <v>10</v>
      </c>
      <c r="Z4" s="31" t="s">
        <v>11</v>
      </c>
      <c r="AA4" s="31" t="s">
        <v>12</v>
      </c>
      <c r="AB4" s="31" t="s">
        <v>13</v>
      </c>
      <c r="AC4" s="31" t="s">
        <v>14</v>
      </c>
      <c r="AD4" s="31" t="s">
        <v>15</v>
      </c>
      <c r="AE4" s="31" t="s">
        <v>16</v>
      </c>
      <c r="AF4" s="31" t="s">
        <v>17</v>
      </c>
      <c r="AG4" s="31" t="s">
        <v>18</v>
      </c>
      <c r="AH4" s="31" t="s">
        <v>19</v>
      </c>
      <c r="AI4" s="31" t="s">
        <v>20</v>
      </c>
      <c r="AJ4" s="31" t="s">
        <v>49</v>
      </c>
      <c r="AK4" s="31" t="s">
        <v>39</v>
      </c>
    </row>
    <row r="5" spans="1:37">
      <c r="A5" s="20" t="s">
        <v>71</v>
      </c>
      <c r="B5" s="20" t="s">
        <v>28</v>
      </c>
      <c r="C5" s="20" t="s">
        <v>50</v>
      </c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 t="str">
        <f t="shared" ref="P5:P68" si="0">IF(SUM(D5:O5)=0,"",SUM(D5:O5))</f>
        <v/>
      </c>
      <c r="Q5" s="23">
        <f>_xlfn.IFNA(IF(SUM(D5:O5)=0,VLOOKUP(C5,DASHBOARD!$L$9:$M$11,2,0)*12,VLOOKUP(C5,DASHBOARD!$L$9:$M$11,2,0)*12-P5),"")</f>
        <v>600000</v>
      </c>
      <c r="S5" s="20" t="s">
        <v>54</v>
      </c>
      <c r="U5" s="20" t="s">
        <v>80</v>
      </c>
      <c r="V5" s="20" t="s">
        <v>64</v>
      </c>
      <c r="W5" s="20" t="s">
        <v>51</v>
      </c>
      <c r="X5" s="27">
        <v>55000</v>
      </c>
      <c r="Y5" s="27">
        <v>55000</v>
      </c>
      <c r="Z5" s="27">
        <v>55000</v>
      </c>
      <c r="AA5" s="27"/>
      <c r="AB5" s="27"/>
      <c r="AC5" s="27"/>
      <c r="AD5" s="27"/>
      <c r="AE5" s="27"/>
      <c r="AF5" s="27"/>
      <c r="AG5" s="27"/>
      <c r="AH5" s="27"/>
      <c r="AI5" s="27"/>
      <c r="AJ5" s="27">
        <v>165000</v>
      </c>
      <c r="AK5" s="23">
        <v>495000</v>
      </c>
    </row>
    <row r="6" spans="1:37">
      <c r="A6" s="20" t="s">
        <v>75</v>
      </c>
      <c r="B6" s="20" t="s">
        <v>59</v>
      </c>
      <c r="C6" s="20" t="s">
        <v>50</v>
      </c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 t="str">
        <f t="shared" si="0"/>
        <v/>
      </c>
      <c r="Q6" s="23">
        <f>_xlfn.IFNA(IF(SUM(D6:O6)=0,VLOOKUP(C6,DASHBOARD!$L$9:$M$11,2,0)*12,VLOOKUP(C6,DASHBOARD!$L$9:$M$11,2,0)*12-P6),"")</f>
        <v>600000</v>
      </c>
      <c r="U6" s="20" t="s">
        <v>72</v>
      </c>
      <c r="V6" s="20" t="s">
        <v>26</v>
      </c>
      <c r="W6" s="20" t="s">
        <v>51</v>
      </c>
      <c r="X6" s="27">
        <v>55000</v>
      </c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>
        <v>55000</v>
      </c>
      <c r="AK6" s="23">
        <v>605000</v>
      </c>
    </row>
    <row r="7" spans="1:37">
      <c r="A7" s="20" t="s">
        <v>80</v>
      </c>
      <c r="B7" s="20" t="s">
        <v>64</v>
      </c>
      <c r="C7" s="20" t="s">
        <v>51</v>
      </c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 t="str">
        <f t="shared" si="0"/>
        <v/>
      </c>
      <c r="Q7" s="23">
        <f>_xlfn.IFNA(IF(SUM(D7:O7)=0,VLOOKUP(C7,DASHBOARD!$L$9:$M$11,2,0)*12,VLOOKUP(C7,DASHBOARD!$L$9:$M$11,2,0)*12-P7),"")</f>
        <v>660000</v>
      </c>
      <c r="U7" s="20" t="s">
        <v>73</v>
      </c>
      <c r="V7" s="20" t="s">
        <v>47</v>
      </c>
      <c r="W7" s="20" t="s">
        <v>51</v>
      </c>
      <c r="X7" s="27">
        <v>55000</v>
      </c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>
        <v>55000</v>
      </c>
      <c r="AK7" s="23">
        <v>605000</v>
      </c>
    </row>
    <row r="8" spans="1:37">
      <c r="A8" s="20" t="s">
        <v>83</v>
      </c>
      <c r="B8" s="20" t="s">
        <v>67</v>
      </c>
      <c r="C8" s="20" t="s">
        <v>50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 t="str">
        <f t="shared" si="0"/>
        <v/>
      </c>
      <c r="Q8" s="23">
        <f>_xlfn.IFNA(IF(SUM(D8:O8)=0,VLOOKUP(C8,DASHBOARD!$L$9:$M$11,2,0)*12,VLOOKUP(C8,DASHBOARD!$L$9:$M$11,2,0)*12-P8),"")</f>
        <v>600000</v>
      </c>
      <c r="U8" s="20" t="s">
        <v>76</v>
      </c>
      <c r="V8" s="20" t="s">
        <v>60</v>
      </c>
      <c r="W8" s="20" t="s">
        <v>51</v>
      </c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 t="s">
        <v>95</v>
      </c>
      <c r="AK8" s="23">
        <v>660000</v>
      </c>
    </row>
    <row r="9" spans="1:37">
      <c r="A9" s="20" t="s">
        <v>73</v>
      </c>
      <c r="B9" s="20" t="s">
        <v>47</v>
      </c>
      <c r="C9" s="20" t="s">
        <v>51</v>
      </c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 t="str">
        <f t="shared" si="0"/>
        <v/>
      </c>
      <c r="Q9" s="23">
        <f>_xlfn.IFNA(IF(SUM(D9:O9)=0,VLOOKUP(C9,DASHBOARD!$L$9:$M$11,2,0)*12,VLOOKUP(C9,DASHBOARD!$L$9:$M$11,2,0)*12-P9),"")</f>
        <v>660000</v>
      </c>
      <c r="U9" s="20" t="s">
        <v>77</v>
      </c>
      <c r="V9" s="20" t="s">
        <v>61</v>
      </c>
      <c r="W9" s="20" t="s">
        <v>51</v>
      </c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 t="s">
        <v>95</v>
      </c>
      <c r="AK9" s="23">
        <v>660000</v>
      </c>
    </row>
    <row r="10" spans="1:37">
      <c r="A10" s="20" t="s">
        <v>76</v>
      </c>
      <c r="B10" s="20" t="s">
        <v>60</v>
      </c>
      <c r="C10" s="20" t="s">
        <v>51</v>
      </c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 t="str">
        <f t="shared" si="0"/>
        <v/>
      </c>
      <c r="Q10" s="23">
        <f>_xlfn.IFNA(IF(SUM(D10:O10)=0,VLOOKUP(C10,DASHBOARD!$L$9:$M$11,2,0)*12,VLOOKUP(C10,DASHBOARD!$L$9:$M$11,2,0)*12-P10),"")</f>
        <v>660000</v>
      </c>
      <c r="U10" s="20" t="s">
        <v>81</v>
      </c>
      <c r="V10" s="20" t="s">
        <v>65</v>
      </c>
      <c r="W10" s="20" t="s">
        <v>51</v>
      </c>
      <c r="X10" s="27">
        <v>55000</v>
      </c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>
        <v>55000</v>
      </c>
      <c r="AK10" s="23">
        <v>605000</v>
      </c>
    </row>
    <row r="11" spans="1:37">
      <c r="A11" s="20" t="s">
        <v>77</v>
      </c>
      <c r="B11" s="20" t="s">
        <v>61</v>
      </c>
      <c r="C11" s="20" t="s">
        <v>51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 t="str">
        <f t="shared" si="0"/>
        <v/>
      </c>
      <c r="Q11" s="23">
        <f>_xlfn.IFNA(IF(SUM(D11:O11)=0,VLOOKUP(C11,DASHBOARD!$L$9:$M$11,2,0)*12,VLOOKUP(C11,DASHBOARD!$L$9:$M$11,2,0)*12-P11),"")</f>
        <v>660000</v>
      </c>
      <c r="U11" s="20" t="s">
        <v>82</v>
      </c>
      <c r="V11" s="20" t="s">
        <v>66</v>
      </c>
      <c r="W11" s="20" t="s">
        <v>51</v>
      </c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 t="s">
        <v>95</v>
      </c>
      <c r="AK11" s="23">
        <v>660000</v>
      </c>
    </row>
    <row r="12" spans="1:37">
      <c r="A12" s="20" t="s">
        <v>81</v>
      </c>
      <c r="B12" s="20" t="s">
        <v>65</v>
      </c>
      <c r="C12" s="20" t="s">
        <v>51</v>
      </c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 t="str">
        <f t="shared" si="0"/>
        <v/>
      </c>
      <c r="Q12" s="23">
        <f>_xlfn.IFNA(IF(SUM(D12:O12)=0,VLOOKUP(C12,DASHBOARD!$L$9:$M$11,2,0)*12,VLOOKUP(C12,DASHBOARD!$L$9:$M$11,2,0)*12-P12),"")</f>
        <v>660000</v>
      </c>
      <c r="U12" s="20" t="s">
        <v>84</v>
      </c>
      <c r="V12" s="20" t="s">
        <v>68</v>
      </c>
      <c r="W12" s="20" t="s">
        <v>51</v>
      </c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 t="s">
        <v>95</v>
      </c>
      <c r="AK12" s="23">
        <v>660000</v>
      </c>
    </row>
    <row r="13" spans="1:37">
      <c r="A13" s="20" t="s">
        <v>82</v>
      </c>
      <c r="B13" s="20" t="s">
        <v>66</v>
      </c>
      <c r="C13" s="20" t="s">
        <v>51</v>
      </c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 t="str">
        <f t="shared" si="0"/>
        <v/>
      </c>
      <c r="Q13" s="23">
        <f>_xlfn.IFNA(IF(SUM(D13:O13)=0,VLOOKUP(C13,DASHBOARD!$L$9:$M$11,2,0)*12,VLOOKUP(C13,DASHBOARD!$L$9:$M$11,2,0)*12-P13),"")</f>
        <v>660000</v>
      </c>
      <c r="U13" s="20" t="s">
        <v>85</v>
      </c>
      <c r="V13" s="20" t="s">
        <v>69</v>
      </c>
      <c r="W13" s="20" t="s">
        <v>51</v>
      </c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 t="s">
        <v>95</v>
      </c>
      <c r="AK13" s="23">
        <v>660000</v>
      </c>
    </row>
    <row r="14" spans="1:37">
      <c r="A14" s="20" t="s">
        <v>84</v>
      </c>
      <c r="B14" s="20" t="s">
        <v>68</v>
      </c>
      <c r="C14" s="20" t="s">
        <v>51</v>
      </c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 t="str">
        <f t="shared" si="0"/>
        <v/>
      </c>
      <c r="Q14" s="23">
        <f>_xlfn.IFNA(IF(SUM(D14:O14)=0,VLOOKUP(C14,DASHBOARD!$L$9:$M$11,2,0)*12,VLOOKUP(C14,DASHBOARD!$L$9:$M$11,2,0)*12-P14),"")</f>
        <v>660000</v>
      </c>
      <c r="U14" s="20" t="s">
        <v>96</v>
      </c>
      <c r="V14" s="20" t="s">
        <v>97</v>
      </c>
      <c r="W14" s="20" t="s">
        <v>51</v>
      </c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 t="s">
        <v>95</v>
      </c>
      <c r="AK14" s="23">
        <v>660000</v>
      </c>
    </row>
    <row r="15" spans="1:37">
      <c r="A15" s="20" t="s">
        <v>85</v>
      </c>
      <c r="B15" s="20" t="s">
        <v>69</v>
      </c>
      <c r="C15" s="20" t="s">
        <v>51</v>
      </c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 t="str">
        <f t="shared" si="0"/>
        <v/>
      </c>
      <c r="Q15" s="23">
        <f>_xlfn.IFNA(IF(SUM(D15:O15)=0,VLOOKUP(C15,DASHBOARD!$L$9:$M$11,2,0)*12,VLOOKUP(C15,DASHBOARD!$L$9:$M$11,2,0)*12-P15),"")</f>
        <v>660000</v>
      </c>
      <c r="U15" s="20" t="s">
        <v>98</v>
      </c>
      <c r="V15" s="20" t="s">
        <v>99</v>
      </c>
      <c r="W15" s="20" t="s">
        <v>51</v>
      </c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 t="s">
        <v>95</v>
      </c>
      <c r="AK15" s="23">
        <v>660000</v>
      </c>
    </row>
    <row r="16" spans="1:37">
      <c r="A16" s="20" t="s">
        <v>96</v>
      </c>
      <c r="B16" s="20" t="s">
        <v>97</v>
      </c>
      <c r="C16" s="20" t="s">
        <v>51</v>
      </c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 t="str">
        <f t="shared" si="0"/>
        <v/>
      </c>
      <c r="Q16" s="23">
        <f>_xlfn.IFNA(IF(SUM(D16:O16)=0,VLOOKUP(C16,DASHBOARD!$L$9:$M$11,2,0)*12,VLOOKUP(C16,DASHBOARD!$L$9:$M$11,2,0)*12-P16),"")</f>
        <v>660000</v>
      </c>
      <c r="U16" s="20"/>
      <c r="V16" s="20"/>
      <c r="W16" s="20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3"/>
    </row>
    <row r="17" spans="1:37">
      <c r="A17" s="20" t="s">
        <v>98</v>
      </c>
      <c r="B17" s="20" t="s">
        <v>99</v>
      </c>
      <c r="C17" s="20" t="s">
        <v>51</v>
      </c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 t="str">
        <f t="shared" si="0"/>
        <v/>
      </c>
      <c r="Q17" s="23">
        <f>_xlfn.IFNA(IF(SUM(D17:O17)=0,VLOOKUP(C17,DASHBOARD!$L$9:$M$11,2,0)*12,VLOOKUP(C17,DASHBOARD!$L$9:$M$11,2,0)*12-P17),"")</f>
        <v>660000</v>
      </c>
      <c r="U17" s="20"/>
      <c r="V17" s="20"/>
      <c r="W17" s="20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3"/>
    </row>
    <row r="18" spans="1:37">
      <c r="A18" s="20" t="s">
        <v>105</v>
      </c>
      <c r="B18" s="20" t="s">
        <v>106</v>
      </c>
      <c r="C18" s="20" t="s">
        <v>52</v>
      </c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 t="str">
        <f t="shared" si="0"/>
        <v/>
      </c>
      <c r="Q18" s="23">
        <f>_xlfn.IFNA(IF(SUM(D18:O18)=0,VLOOKUP(C18,DASHBOARD!$L$9:$M$11,2,0)*12,VLOOKUP(C18,DASHBOARD!$L$9:$M$11,2,0)*12-P18),"")</f>
        <v>720000</v>
      </c>
      <c r="U18" s="20"/>
      <c r="V18" s="20"/>
      <c r="W18" s="20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3"/>
    </row>
    <row r="19" spans="1:37">
      <c r="A19" s="20" t="s">
        <v>74</v>
      </c>
      <c r="B19" s="20" t="s">
        <v>44</v>
      </c>
      <c r="C19" s="20" t="s">
        <v>52</v>
      </c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 t="str">
        <f t="shared" si="0"/>
        <v/>
      </c>
      <c r="Q19" s="23">
        <f>_xlfn.IFNA(IF(SUM(D19:O19)=0,VLOOKUP(C19,DASHBOARD!$L$9:$M$11,2,0)*12,VLOOKUP(C19,DASHBOARD!$L$9:$M$11,2,0)*12-P19),"")</f>
        <v>720000</v>
      </c>
      <c r="U19" s="20"/>
      <c r="V19" s="20"/>
      <c r="W19" s="20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3"/>
    </row>
    <row r="20" spans="1:37">
      <c r="A20" s="20" t="s">
        <v>107</v>
      </c>
      <c r="B20" s="20" t="s">
        <v>46</v>
      </c>
      <c r="C20" s="20" t="s">
        <v>52</v>
      </c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 t="str">
        <f t="shared" si="0"/>
        <v/>
      </c>
      <c r="Q20" s="23">
        <f>_xlfn.IFNA(IF(SUM(D20:O20)=0,VLOOKUP(C20,DASHBOARD!$L$9:$M$11,2,0)*12,VLOOKUP(C20,DASHBOARD!$L$9:$M$11,2,0)*12-P20),"")</f>
        <v>720000</v>
      </c>
      <c r="U20" s="20"/>
      <c r="V20" s="20"/>
      <c r="W20" s="20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3"/>
    </row>
    <row r="21" spans="1:37">
      <c r="A21" s="20" t="s">
        <v>78</v>
      </c>
      <c r="B21" s="20" t="s">
        <v>62</v>
      </c>
      <c r="C21" s="20" t="s">
        <v>52</v>
      </c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 t="str">
        <f t="shared" si="0"/>
        <v/>
      </c>
      <c r="Q21" s="23">
        <f>_xlfn.IFNA(IF(SUM(D21:O21)=0,VLOOKUP(C21,DASHBOARD!$L$9:$M$11,2,0)*12,VLOOKUP(C21,DASHBOARD!$L$9:$M$11,2,0)*12-P21),"")</f>
        <v>720000</v>
      </c>
      <c r="U21" s="20"/>
      <c r="V21" s="20"/>
      <c r="W21" s="20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3"/>
    </row>
    <row r="22" spans="1:37">
      <c r="A22" s="20" t="s">
        <v>79</v>
      </c>
      <c r="B22" s="20" t="s">
        <v>63</v>
      </c>
      <c r="C22" s="20" t="s">
        <v>52</v>
      </c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 t="str">
        <f t="shared" si="0"/>
        <v/>
      </c>
      <c r="Q22" s="23">
        <f>_xlfn.IFNA(IF(SUM(D22:O22)=0,VLOOKUP(C22,DASHBOARD!$L$9:$M$11,2,0)*12,VLOOKUP(C22,DASHBOARD!$L$9:$M$11,2,0)*12-P22),"")</f>
        <v>720000</v>
      </c>
      <c r="U22" s="20"/>
      <c r="V22" s="20"/>
      <c r="W22" s="20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3"/>
    </row>
    <row r="23" spans="1:37">
      <c r="A23" s="20" t="s">
        <v>86</v>
      </c>
      <c r="B23" s="20" t="s">
        <v>70</v>
      </c>
      <c r="C23" s="20" t="s">
        <v>52</v>
      </c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 t="str">
        <f t="shared" si="0"/>
        <v/>
      </c>
      <c r="Q23" s="23">
        <f>_xlfn.IFNA(IF(SUM(D23:O23)=0,VLOOKUP(C23,DASHBOARD!$L$9:$M$11,2,0)*12,VLOOKUP(C23,DASHBOARD!$L$9:$M$11,2,0)*12-P23),"")</f>
        <v>720000</v>
      </c>
      <c r="U23" s="20"/>
      <c r="V23" s="20"/>
      <c r="W23" s="20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3"/>
    </row>
    <row r="24" spans="1:37">
      <c r="A24" s="20" t="s">
        <v>114</v>
      </c>
      <c r="B24" s="20" t="s">
        <v>115</v>
      </c>
      <c r="C24" s="20" t="s">
        <v>52</v>
      </c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 t="str">
        <f t="shared" si="0"/>
        <v/>
      </c>
      <c r="Q24" s="23">
        <f>_xlfn.IFNA(IF(SUM(D24:O24)=0,VLOOKUP(C24,DASHBOARD!$L$9:$M$11,2,0)*12,VLOOKUP(C24,DASHBOARD!$L$9:$M$11,2,0)*12-P24),"")</f>
        <v>720000</v>
      </c>
      <c r="U24" s="20"/>
      <c r="V24" s="20"/>
      <c r="W24" s="20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3"/>
    </row>
    <row r="25" spans="1:37">
      <c r="A25" s="20"/>
      <c r="B25" s="20"/>
      <c r="C25" s="20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 t="str">
        <f t="shared" si="0"/>
        <v/>
      </c>
      <c r="Q25" s="23" t="str">
        <f>_xlfn.IFNA(IF(SUM(D25:O25)=0,VLOOKUP(C25,DASHBOARD!$L$9:$M$11,2,0)*12,VLOOKUP(C25,DASHBOARD!$L$9:$M$11,2,0)*12-P25),"")</f>
        <v/>
      </c>
      <c r="U25" s="20"/>
      <c r="V25" s="20"/>
      <c r="W25" s="20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3"/>
    </row>
    <row r="26" spans="1:37">
      <c r="A26" s="20"/>
      <c r="B26" s="20"/>
      <c r="C26" s="20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 t="str">
        <f t="shared" si="0"/>
        <v/>
      </c>
      <c r="Q26" s="23" t="str">
        <f>_xlfn.IFNA(IF(SUM(D26:O26)=0,VLOOKUP(C26,DASHBOARD!$L$9:$M$11,2,0)*12,VLOOKUP(C26,DASHBOARD!$L$9:$M$11,2,0)*12-P26),"")</f>
        <v/>
      </c>
      <c r="U26" s="20"/>
      <c r="V26" s="20"/>
      <c r="W26" s="20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3"/>
    </row>
    <row r="27" spans="1:37">
      <c r="A27" s="20"/>
      <c r="B27" s="20"/>
      <c r="C27" s="20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 t="str">
        <f t="shared" si="0"/>
        <v/>
      </c>
      <c r="Q27" s="23" t="str">
        <f>_xlfn.IFNA(IF(SUM(D27:O27)=0,VLOOKUP(C27,DASHBOARD!$L$9:$M$11,2,0)*12,VLOOKUP(C27,DASHBOARD!$L$9:$M$11,2,0)*12-P27),"")</f>
        <v/>
      </c>
      <c r="U27" s="20"/>
      <c r="V27" s="20"/>
      <c r="W27" s="20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3"/>
    </row>
    <row r="28" spans="1:37">
      <c r="A28" s="20"/>
      <c r="B28" s="20"/>
      <c r="C28" s="20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 t="str">
        <f t="shared" si="0"/>
        <v/>
      </c>
      <c r="Q28" s="23" t="str">
        <f>_xlfn.IFNA(IF(SUM(D28:O28)=0,VLOOKUP(C28,DASHBOARD!$L$9:$M$11,2,0)*12,VLOOKUP(C28,DASHBOARD!$L$9:$M$11,2,0)*12-P28),"")</f>
        <v/>
      </c>
      <c r="U28" s="20"/>
      <c r="V28" s="20"/>
      <c r="W28" s="20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3"/>
    </row>
    <row r="29" spans="1:37">
      <c r="A29" s="20"/>
      <c r="B29" s="20"/>
      <c r="C29" s="20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 t="str">
        <f t="shared" si="0"/>
        <v/>
      </c>
      <c r="Q29" s="23" t="str">
        <f>_xlfn.IFNA(IF(SUM(D29:O29)=0,VLOOKUP(C29,DASHBOARD!$L$9:$M$11,2,0)*12,VLOOKUP(C29,DASHBOARD!$L$9:$M$11,2,0)*12-P29),"")</f>
        <v/>
      </c>
      <c r="U29" s="20"/>
      <c r="V29" s="20"/>
      <c r="W29" s="20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3"/>
    </row>
    <row r="30" spans="1:37">
      <c r="A30" s="20"/>
      <c r="B30" s="20"/>
      <c r="C30" s="20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 t="str">
        <f t="shared" si="0"/>
        <v/>
      </c>
      <c r="Q30" s="23" t="str">
        <f>_xlfn.IFNA(IF(SUM(D30:O30)=0,VLOOKUP(C30,DASHBOARD!$L$9:$M$11,2,0)*12,VLOOKUP(C30,DASHBOARD!$L$9:$M$11,2,0)*12-P30),"")</f>
        <v/>
      </c>
      <c r="U30" s="20"/>
      <c r="V30" s="20"/>
      <c r="W30" s="20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3"/>
    </row>
    <row r="31" spans="1:37">
      <c r="A31" s="20"/>
      <c r="B31" s="20"/>
      <c r="C31" s="20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 t="str">
        <f t="shared" si="0"/>
        <v/>
      </c>
      <c r="Q31" s="23" t="str">
        <f>_xlfn.IFNA(IF(SUM(D31:O31)=0,VLOOKUP(C31,DASHBOARD!$L$9:$M$11,2,0)*12,VLOOKUP(C31,DASHBOARD!$L$9:$M$11,2,0)*12-P31),"")</f>
        <v/>
      </c>
      <c r="U31" s="20"/>
      <c r="V31" s="20"/>
      <c r="W31" s="20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K31" s="23"/>
    </row>
    <row r="32" spans="1:37">
      <c r="A32" s="20"/>
      <c r="B32" s="20"/>
      <c r="C32" s="20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 t="str">
        <f t="shared" si="0"/>
        <v/>
      </c>
      <c r="Q32" s="23" t="str">
        <f>_xlfn.IFNA(IF(SUM(D32:O32)=0,VLOOKUP(C32,DASHBOARD!$L$9:$M$11,2,0)*12,VLOOKUP(C32,DASHBOARD!$L$9:$M$11,2,0)*12-P32),"")</f>
        <v/>
      </c>
      <c r="U32" s="20"/>
      <c r="V32" s="20"/>
      <c r="W32" s="20"/>
      <c r="X32" s="27"/>
      <c r="Y32" s="27"/>
      <c r="Z32" s="27"/>
      <c r="AA32" s="27"/>
      <c r="AB32" s="27"/>
      <c r="AC32" s="27"/>
      <c r="AD32" s="27"/>
      <c r="AE32" s="27"/>
      <c r="AF32" s="27"/>
      <c r="AG32" s="27"/>
      <c r="AH32" s="27"/>
      <c r="AI32" s="27"/>
      <c r="AJ32" s="27"/>
      <c r="AK32" s="23"/>
    </row>
    <row r="33" spans="1:37">
      <c r="A33" s="20"/>
      <c r="B33" s="20"/>
      <c r="C33" s="20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 t="str">
        <f t="shared" si="0"/>
        <v/>
      </c>
      <c r="Q33" s="23" t="str">
        <f>_xlfn.IFNA(IF(SUM(D33:O33)=0,VLOOKUP(C33,DASHBOARD!$L$9:$M$11,2,0)*12,VLOOKUP(C33,DASHBOARD!$L$9:$M$11,2,0)*12-P33),"")</f>
        <v/>
      </c>
      <c r="U33" s="20"/>
      <c r="V33" s="20"/>
      <c r="W33" s="20"/>
      <c r="X33" s="27"/>
      <c r="Y33" s="27"/>
      <c r="Z33" s="27"/>
      <c r="AA33" s="27"/>
      <c r="AB33" s="27"/>
      <c r="AC33" s="27"/>
      <c r="AD33" s="27"/>
      <c r="AE33" s="27"/>
      <c r="AF33" s="27"/>
      <c r="AG33" s="27"/>
      <c r="AH33" s="27"/>
      <c r="AI33" s="27"/>
      <c r="AJ33" s="27"/>
      <c r="AK33" s="23"/>
    </row>
    <row r="34" spans="1:37">
      <c r="A34" s="20"/>
      <c r="B34" s="20"/>
      <c r="C34" s="20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 t="str">
        <f t="shared" si="0"/>
        <v/>
      </c>
      <c r="Q34" s="23" t="str">
        <f>_xlfn.IFNA(IF(SUM(D34:O34)=0,VLOOKUP(C34,DASHBOARD!$L$9:$M$11,2,0)*12,VLOOKUP(C34,DASHBOARD!$L$9:$M$11,2,0)*12-P34),"")</f>
        <v/>
      </c>
      <c r="U34" s="20"/>
      <c r="V34" s="20"/>
      <c r="W34" s="20"/>
      <c r="X34" s="27"/>
      <c r="Y34" s="27"/>
      <c r="Z34" s="27"/>
      <c r="AA34" s="27"/>
      <c r="AB34" s="27"/>
      <c r="AC34" s="27"/>
      <c r="AD34" s="27"/>
      <c r="AE34" s="27"/>
      <c r="AF34" s="27"/>
      <c r="AG34" s="27"/>
      <c r="AH34" s="27"/>
      <c r="AI34" s="27"/>
      <c r="AJ34" s="27"/>
      <c r="AK34" s="23"/>
    </row>
    <row r="35" spans="1:37">
      <c r="A35" s="20"/>
      <c r="B35" s="20"/>
      <c r="C35" s="20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 t="str">
        <f t="shared" si="0"/>
        <v/>
      </c>
      <c r="Q35" s="23" t="str">
        <f>_xlfn.IFNA(IF(SUM(D35:O35)=0,VLOOKUP(C35,DASHBOARD!$L$9:$M$11,2,0)*12,VLOOKUP(C35,DASHBOARD!$L$9:$M$11,2,0)*12-P35),"")</f>
        <v/>
      </c>
      <c r="U35" s="20"/>
      <c r="V35" s="20"/>
      <c r="W35" s="20"/>
      <c r="X35" s="27"/>
      <c r="Y35" s="27"/>
      <c r="Z35" s="27"/>
      <c r="AA35" s="27"/>
      <c r="AB35" s="27"/>
      <c r="AC35" s="27"/>
      <c r="AD35" s="27"/>
      <c r="AE35" s="27"/>
      <c r="AF35" s="27"/>
      <c r="AG35" s="27"/>
      <c r="AH35" s="27"/>
      <c r="AI35" s="27"/>
      <c r="AJ35" s="27"/>
      <c r="AK35" s="23"/>
    </row>
    <row r="36" spans="1:37">
      <c r="A36" s="20"/>
      <c r="B36" s="20"/>
      <c r="C36" s="20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 t="str">
        <f t="shared" si="0"/>
        <v/>
      </c>
      <c r="Q36" s="23" t="str">
        <f>_xlfn.IFNA(IF(SUM(D36:O36)=0,VLOOKUP(C36,DASHBOARD!$L$9:$M$11,2,0)*12,VLOOKUP(C36,DASHBOARD!$L$9:$M$11,2,0)*12-P36),"")</f>
        <v/>
      </c>
      <c r="U36" s="20"/>
      <c r="V36" s="20"/>
      <c r="W36" s="20"/>
      <c r="X36" s="27"/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  <c r="AK36" s="23"/>
    </row>
    <row r="37" spans="1:37">
      <c r="A37" s="20"/>
      <c r="B37" s="20"/>
      <c r="C37" s="20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 t="str">
        <f t="shared" si="0"/>
        <v/>
      </c>
      <c r="Q37" s="23" t="str">
        <f>_xlfn.IFNA(IF(SUM(D37:O37)=0,VLOOKUP(C37,DASHBOARD!$L$9:$M$11,2,0)*12,VLOOKUP(C37,DASHBOARD!$L$9:$M$11,2,0)*12-P37),"")</f>
        <v/>
      </c>
      <c r="U37" s="20"/>
      <c r="V37" s="20"/>
      <c r="W37" s="20"/>
      <c r="X37" s="27"/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3"/>
    </row>
    <row r="38" spans="1:37">
      <c r="A38" s="20"/>
      <c r="B38" s="20"/>
      <c r="C38" s="20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 t="str">
        <f t="shared" si="0"/>
        <v/>
      </c>
      <c r="Q38" s="23" t="str">
        <f>_xlfn.IFNA(IF(SUM(D38:O38)=0,VLOOKUP(C38,DASHBOARD!$L$9:$M$11,2,0)*12,VLOOKUP(C38,DASHBOARD!$L$9:$M$11,2,0)*12-P38),"")</f>
        <v/>
      </c>
      <c r="U38" s="20"/>
      <c r="V38" s="20"/>
      <c r="W38" s="20"/>
      <c r="X38" s="27"/>
      <c r="Y38" s="27"/>
      <c r="Z38" s="27"/>
      <c r="AA38" s="27"/>
      <c r="AB38" s="27"/>
      <c r="AC38" s="27"/>
      <c r="AD38" s="27"/>
      <c r="AE38" s="27"/>
      <c r="AF38" s="27"/>
      <c r="AG38" s="27"/>
      <c r="AH38" s="27"/>
      <c r="AI38" s="27"/>
      <c r="AJ38" s="27"/>
      <c r="AK38" s="23"/>
    </row>
    <row r="39" spans="1:37">
      <c r="A39" s="20"/>
      <c r="B39" s="20"/>
      <c r="C39" s="20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 t="str">
        <f t="shared" si="0"/>
        <v/>
      </c>
      <c r="Q39" s="23" t="str">
        <f>_xlfn.IFNA(IF(SUM(D39:O39)=0,VLOOKUP(C39,DASHBOARD!$L$9:$M$11,2,0)*12,VLOOKUP(C39,DASHBOARD!$L$9:$M$11,2,0)*12-P39),"")</f>
        <v/>
      </c>
      <c r="U39" s="20"/>
      <c r="V39" s="20"/>
      <c r="W39" s="20"/>
      <c r="X39" s="27"/>
      <c r="Y39" s="27"/>
      <c r="Z39" s="27"/>
      <c r="AA39" s="27"/>
      <c r="AB39" s="27"/>
      <c r="AC39" s="27"/>
      <c r="AD39" s="27"/>
      <c r="AE39" s="27"/>
      <c r="AF39" s="27"/>
      <c r="AG39" s="27"/>
      <c r="AH39" s="27"/>
      <c r="AI39" s="27"/>
      <c r="AJ39" s="27"/>
      <c r="AK39" s="23"/>
    </row>
    <row r="40" spans="1:37">
      <c r="A40" s="20"/>
      <c r="B40" s="20"/>
      <c r="C40" s="20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 t="str">
        <f t="shared" si="0"/>
        <v/>
      </c>
      <c r="Q40" s="23" t="str">
        <f>_xlfn.IFNA(IF(SUM(D40:O40)=0,VLOOKUP(C40,DASHBOARD!$L$9:$M$11,2,0)*12,VLOOKUP(C40,DASHBOARD!$L$9:$M$11,2,0)*12-P40),"")</f>
        <v/>
      </c>
      <c r="U40" s="20"/>
      <c r="V40" s="20"/>
      <c r="W40" s="20"/>
      <c r="X40" s="27"/>
      <c r="Y40" s="27"/>
      <c r="Z40" s="27"/>
      <c r="AA40" s="27"/>
      <c r="AB40" s="27"/>
      <c r="AC40" s="27"/>
      <c r="AD40" s="27"/>
      <c r="AE40" s="27"/>
      <c r="AF40" s="27"/>
      <c r="AG40" s="27"/>
      <c r="AH40" s="27"/>
      <c r="AI40" s="27"/>
      <c r="AJ40" s="27"/>
      <c r="AK40" s="23"/>
    </row>
    <row r="41" spans="1:37">
      <c r="A41" s="20"/>
      <c r="B41" s="20"/>
      <c r="C41" s="20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 t="str">
        <f t="shared" si="0"/>
        <v/>
      </c>
      <c r="Q41" s="23" t="str">
        <f>_xlfn.IFNA(IF(SUM(D41:O41)=0,VLOOKUP(C41,DASHBOARD!$L$9:$M$11,2,0)*12,VLOOKUP(C41,DASHBOARD!$L$9:$M$11,2,0)*12-P41),"")</f>
        <v/>
      </c>
      <c r="U41" s="20"/>
      <c r="V41" s="20"/>
      <c r="W41" s="20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3"/>
    </row>
    <row r="42" spans="1:37">
      <c r="A42" s="20"/>
      <c r="B42" s="20"/>
      <c r="C42" s="20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 t="str">
        <f t="shared" si="0"/>
        <v/>
      </c>
      <c r="Q42" s="23" t="str">
        <f>_xlfn.IFNA(IF(SUM(D42:O42)=0,VLOOKUP(C42,DASHBOARD!$L$9:$M$11,2,0)*12,VLOOKUP(C42,DASHBOARD!$L$9:$M$11,2,0)*12-P42),"")</f>
        <v/>
      </c>
      <c r="U42" s="20"/>
      <c r="V42" s="20"/>
      <c r="W42" s="20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3"/>
    </row>
    <row r="43" spans="1:37">
      <c r="A43" s="20"/>
      <c r="B43" s="20"/>
      <c r="C43" s="20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 t="str">
        <f t="shared" si="0"/>
        <v/>
      </c>
      <c r="Q43" s="23" t="str">
        <f>_xlfn.IFNA(IF(SUM(D43:O43)=0,VLOOKUP(C43,DASHBOARD!$L$9:$M$11,2,0)*12,VLOOKUP(C43,DASHBOARD!$L$9:$M$11,2,0)*12-P43),"")</f>
        <v/>
      </c>
      <c r="U43" s="20"/>
      <c r="V43" s="20"/>
      <c r="W43" s="20"/>
      <c r="X43" s="27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3"/>
    </row>
    <row r="44" spans="1:37">
      <c r="A44" s="20"/>
      <c r="B44" s="20"/>
      <c r="C44" s="20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 t="str">
        <f t="shared" si="0"/>
        <v/>
      </c>
      <c r="Q44" s="23" t="str">
        <f>_xlfn.IFNA(IF(SUM(D44:O44)=0,VLOOKUP(C44,DASHBOARD!$L$9:$M$11,2,0)*12,VLOOKUP(C44,DASHBOARD!$L$9:$M$11,2,0)*12-P44),"")</f>
        <v/>
      </c>
      <c r="U44" s="20"/>
      <c r="V44" s="20"/>
      <c r="W44" s="20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3"/>
    </row>
    <row r="45" spans="1:37">
      <c r="A45" s="20"/>
      <c r="B45" s="20"/>
      <c r="C45" s="20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 t="str">
        <f t="shared" si="0"/>
        <v/>
      </c>
      <c r="Q45" s="23" t="str">
        <f>_xlfn.IFNA(IF(SUM(D45:O45)=0,VLOOKUP(C45,DASHBOARD!$L$9:$M$11,2,0)*12,VLOOKUP(C45,DASHBOARD!$L$9:$M$11,2,0)*12-P45),"")</f>
        <v/>
      </c>
      <c r="U45" s="20"/>
      <c r="V45" s="20"/>
      <c r="W45" s="20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3"/>
    </row>
    <row r="46" spans="1:37">
      <c r="A46" s="20"/>
      <c r="B46" s="20"/>
      <c r="C46" s="20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 t="str">
        <f t="shared" si="0"/>
        <v/>
      </c>
      <c r="Q46" s="23" t="str">
        <f>_xlfn.IFNA(IF(SUM(D46:O46)=0,VLOOKUP(C46,DASHBOARD!$L$9:$M$11,2,0)*12,VLOOKUP(C46,DASHBOARD!$L$9:$M$11,2,0)*12-P46),"")</f>
        <v/>
      </c>
      <c r="U46" s="20"/>
      <c r="V46" s="20"/>
      <c r="W46" s="20"/>
      <c r="X46" s="27"/>
      <c r="Y46" s="27"/>
      <c r="Z46" s="2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3"/>
    </row>
    <row r="47" spans="1:37">
      <c r="A47" s="20"/>
      <c r="B47" s="20"/>
      <c r="C47" s="20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 t="str">
        <f t="shared" si="0"/>
        <v/>
      </c>
      <c r="Q47" s="23" t="str">
        <f>_xlfn.IFNA(IF(SUM(D47:O47)=0,VLOOKUP(C47,DASHBOARD!$L$9:$M$11,2,0)*12,VLOOKUP(C47,DASHBOARD!$L$9:$M$11,2,0)*12-P47),"")</f>
        <v/>
      </c>
      <c r="U47" s="20"/>
      <c r="V47" s="20"/>
      <c r="W47" s="20"/>
      <c r="X47" s="27"/>
      <c r="Y47" s="27"/>
      <c r="Z47" s="2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3"/>
    </row>
    <row r="48" spans="1:37">
      <c r="A48" s="20"/>
      <c r="B48" s="20"/>
      <c r="C48" s="20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 t="str">
        <f t="shared" si="0"/>
        <v/>
      </c>
      <c r="Q48" s="23" t="str">
        <f>_xlfn.IFNA(IF(SUM(D48:O48)=0,VLOOKUP(C48,DASHBOARD!$L$9:$M$11,2,0)*12,VLOOKUP(C48,DASHBOARD!$L$9:$M$11,2,0)*12-P48),"")</f>
        <v/>
      </c>
      <c r="U48" s="20"/>
      <c r="V48" s="20"/>
      <c r="W48" s="20"/>
      <c r="X48" s="27"/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3"/>
    </row>
    <row r="49" spans="1:37">
      <c r="A49" s="20"/>
      <c r="B49" s="20"/>
      <c r="C49" s="20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 t="str">
        <f t="shared" si="0"/>
        <v/>
      </c>
      <c r="Q49" s="23" t="str">
        <f>_xlfn.IFNA(IF(SUM(D49:O49)=0,VLOOKUP(C49,DASHBOARD!$L$9:$M$11,2,0)*12,VLOOKUP(C49,DASHBOARD!$L$9:$M$11,2,0)*12-P49),"")</f>
        <v/>
      </c>
      <c r="U49" s="20"/>
      <c r="V49" s="20"/>
      <c r="W49" s="20"/>
      <c r="X49" s="27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27"/>
      <c r="AK49" s="23"/>
    </row>
    <row r="50" spans="1:37">
      <c r="A50" s="20"/>
      <c r="B50" s="20"/>
      <c r="C50" s="20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 t="str">
        <f t="shared" si="0"/>
        <v/>
      </c>
      <c r="Q50" s="23" t="str">
        <f>_xlfn.IFNA(IF(SUM(D50:O50)=0,VLOOKUP(C50,DASHBOARD!$L$9:$M$11,2,0)*12,VLOOKUP(C50,DASHBOARD!$L$9:$M$11,2,0)*12-P50),"")</f>
        <v/>
      </c>
      <c r="U50" s="20"/>
      <c r="V50" s="20"/>
      <c r="W50" s="20"/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27"/>
      <c r="AI50" s="27"/>
      <c r="AJ50" s="27"/>
      <c r="AK50" s="23"/>
    </row>
    <row r="51" spans="1:37">
      <c r="A51" s="20"/>
      <c r="B51" s="20"/>
      <c r="C51" s="20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 t="str">
        <f t="shared" si="0"/>
        <v/>
      </c>
      <c r="Q51" s="23" t="str">
        <f>_xlfn.IFNA(IF(SUM(D51:O51)=0,VLOOKUP(C51,DASHBOARD!$L$9:$M$11,2,0)*12,VLOOKUP(C51,DASHBOARD!$L$9:$M$11,2,0)*12-P51),"")</f>
        <v/>
      </c>
      <c r="U51" s="20"/>
      <c r="V51" s="20"/>
      <c r="W51" s="20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3"/>
    </row>
    <row r="52" spans="1:37">
      <c r="A52" s="20"/>
      <c r="B52" s="20"/>
      <c r="C52" s="20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 t="str">
        <f t="shared" si="0"/>
        <v/>
      </c>
      <c r="Q52" s="23" t="str">
        <f>_xlfn.IFNA(IF(SUM(D52:O52)=0,VLOOKUP(C52,DASHBOARD!$L$9:$M$11,2,0)*12,VLOOKUP(C52,DASHBOARD!$L$9:$M$11,2,0)*12-P52),"")</f>
        <v/>
      </c>
      <c r="U52" s="20"/>
      <c r="V52" s="20"/>
      <c r="W52" s="20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3"/>
    </row>
    <row r="53" spans="1:37">
      <c r="A53" s="20"/>
      <c r="B53" s="20"/>
      <c r="C53" s="20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 t="str">
        <f t="shared" si="0"/>
        <v/>
      </c>
      <c r="Q53" s="23" t="str">
        <f>_xlfn.IFNA(IF(SUM(D53:O53)=0,VLOOKUP(C53,DASHBOARD!$L$9:$M$11,2,0)*12,VLOOKUP(C53,DASHBOARD!$L$9:$M$11,2,0)*12-P53),"")</f>
        <v/>
      </c>
      <c r="U53" s="20"/>
      <c r="V53" s="20"/>
      <c r="W53" s="20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3"/>
    </row>
    <row r="54" spans="1:37">
      <c r="A54" s="20"/>
      <c r="B54" s="20"/>
      <c r="C54" s="20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 t="str">
        <f t="shared" si="0"/>
        <v/>
      </c>
      <c r="Q54" s="23" t="str">
        <f>_xlfn.IFNA(IF(SUM(D54:O54)=0,VLOOKUP(C54,DASHBOARD!$L$9:$M$11,2,0)*12,VLOOKUP(C54,DASHBOARD!$L$9:$M$11,2,0)*12-P54),"")</f>
        <v/>
      </c>
      <c r="U54" s="20"/>
      <c r="V54" s="20"/>
      <c r="W54" s="20"/>
      <c r="X54" s="27"/>
      <c r="Y54" s="27"/>
      <c r="Z54" s="27"/>
      <c r="AA54" s="27"/>
      <c r="AB54" s="27"/>
      <c r="AC54" s="27"/>
      <c r="AD54" s="27"/>
      <c r="AE54" s="27"/>
      <c r="AF54" s="27"/>
      <c r="AG54" s="27"/>
      <c r="AH54" s="27"/>
      <c r="AI54" s="27"/>
      <c r="AJ54" s="27"/>
      <c r="AK54" s="23"/>
    </row>
    <row r="55" spans="1:37">
      <c r="A55" s="20"/>
      <c r="B55" s="20"/>
      <c r="C55" s="20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 t="str">
        <f t="shared" si="0"/>
        <v/>
      </c>
      <c r="Q55" s="23" t="str">
        <f>_xlfn.IFNA(IF(SUM(D55:O55)=0,VLOOKUP(C55,DASHBOARD!$L$9:$M$11,2,0)*12,VLOOKUP(C55,DASHBOARD!$L$9:$M$11,2,0)*12-P55),"")</f>
        <v/>
      </c>
      <c r="U55" s="20"/>
      <c r="V55" s="20"/>
      <c r="W55" s="20"/>
      <c r="X55" s="27"/>
      <c r="Y55" s="27"/>
      <c r="Z55" s="27"/>
      <c r="AA55" s="27"/>
      <c r="AB55" s="27"/>
      <c r="AC55" s="27"/>
      <c r="AD55" s="27"/>
      <c r="AE55" s="27"/>
      <c r="AF55" s="27"/>
      <c r="AG55" s="27"/>
      <c r="AH55" s="27"/>
      <c r="AI55" s="27"/>
      <c r="AJ55" s="27"/>
      <c r="AK55" s="23"/>
    </row>
    <row r="56" spans="1:37">
      <c r="A56" s="20"/>
      <c r="B56" s="20"/>
      <c r="C56" s="20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 t="str">
        <f t="shared" si="0"/>
        <v/>
      </c>
      <c r="Q56" s="23" t="str">
        <f>_xlfn.IFNA(IF(SUM(D56:O56)=0,VLOOKUP(C56,DASHBOARD!$L$9:$M$11,2,0)*12,VLOOKUP(C56,DASHBOARD!$L$9:$M$11,2,0)*12-P56),"")</f>
        <v/>
      </c>
      <c r="U56" s="20"/>
      <c r="V56" s="20"/>
      <c r="W56" s="20"/>
      <c r="X56" s="27"/>
      <c r="Y56" s="27"/>
      <c r="Z56" s="27"/>
      <c r="AA56" s="27"/>
      <c r="AB56" s="27"/>
      <c r="AC56" s="27"/>
      <c r="AD56" s="27"/>
      <c r="AE56" s="27"/>
      <c r="AF56" s="27"/>
      <c r="AG56" s="27"/>
      <c r="AH56" s="27"/>
      <c r="AI56" s="27"/>
      <c r="AJ56" s="27"/>
      <c r="AK56" s="23"/>
    </row>
    <row r="57" spans="1:37">
      <c r="A57" s="20"/>
      <c r="B57" s="20"/>
      <c r="C57" s="20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 t="str">
        <f t="shared" si="0"/>
        <v/>
      </c>
      <c r="Q57" s="23" t="str">
        <f>_xlfn.IFNA(IF(SUM(D57:O57)=0,VLOOKUP(C57,DASHBOARD!$L$9:$M$11,2,0)*12,VLOOKUP(C57,DASHBOARD!$L$9:$M$11,2,0)*12-P57),"")</f>
        <v/>
      </c>
      <c r="U57" s="20"/>
      <c r="V57" s="20"/>
      <c r="W57" s="20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7"/>
      <c r="AK57" s="23"/>
    </row>
    <row r="58" spans="1:37">
      <c r="A58" s="20"/>
      <c r="B58" s="20"/>
      <c r="C58" s="20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 t="str">
        <f t="shared" si="0"/>
        <v/>
      </c>
      <c r="Q58" s="23" t="str">
        <f>_xlfn.IFNA(IF(SUM(D58:O58)=0,VLOOKUP(C58,DASHBOARD!$L$9:$M$11,2,0)*12,VLOOKUP(C58,DASHBOARD!$L$9:$M$11,2,0)*12-P58),"")</f>
        <v/>
      </c>
      <c r="U58" s="20"/>
      <c r="V58" s="20"/>
      <c r="W58" s="20"/>
      <c r="X58" s="27"/>
      <c r="Y58" s="27"/>
      <c r="Z58" s="27"/>
      <c r="AA58" s="27"/>
      <c r="AB58" s="27"/>
      <c r="AC58" s="27"/>
      <c r="AD58" s="27"/>
      <c r="AE58" s="27"/>
      <c r="AF58" s="27"/>
      <c r="AG58" s="27"/>
      <c r="AH58" s="27"/>
      <c r="AI58" s="27"/>
      <c r="AJ58" s="27"/>
      <c r="AK58" s="23"/>
    </row>
    <row r="59" spans="1:37">
      <c r="A59" s="20"/>
      <c r="B59" s="20"/>
      <c r="C59" s="20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 t="str">
        <f t="shared" si="0"/>
        <v/>
      </c>
      <c r="Q59" s="23" t="str">
        <f>_xlfn.IFNA(IF(SUM(D59:O59)=0,VLOOKUP(C59,DASHBOARD!$L$9:$M$11,2,0)*12,VLOOKUP(C59,DASHBOARD!$L$9:$M$11,2,0)*12-P59),"")</f>
        <v/>
      </c>
      <c r="U59" s="20"/>
      <c r="V59" s="20"/>
      <c r="W59" s="20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7"/>
      <c r="AK59" s="23"/>
    </row>
    <row r="60" spans="1:37">
      <c r="A60" s="20"/>
      <c r="B60" s="20"/>
      <c r="C60" s="20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 t="str">
        <f t="shared" si="0"/>
        <v/>
      </c>
      <c r="Q60" s="23" t="str">
        <f>_xlfn.IFNA(IF(SUM(D60:O60)=0,VLOOKUP(C60,DASHBOARD!$L$9:$M$11,2,0)*12,VLOOKUP(C60,DASHBOARD!$L$9:$M$11,2,0)*12-P60),"")</f>
        <v/>
      </c>
      <c r="U60" s="20"/>
      <c r="V60" s="20"/>
      <c r="W60" s="20"/>
      <c r="X60" s="27"/>
      <c r="Y60" s="27"/>
      <c r="Z60" s="27"/>
      <c r="AA60" s="27"/>
      <c r="AB60" s="27"/>
      <c r="AC60" s="27"/>
      <c r="AD60" s="27"/>
      <c r="AE60" s="27"/>
      <c r="AF60" s="27"/>
      <c r="AG60" s="27"/>
      <c r="AH60" s="27"/>
      <c r="AI60" s="27"/>
      <c r="AJ60" s="27"/>
      <c r="AK60" s="23"/>
    </row>
    <row r="61" spans="1:37">
      <c r="A61" s="20"/>
      <c r="B61" s="20"/>
      <c r="C61" s="20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 t="str">
        <f t="shared" si="0"/>
        <v/>
      </c>
      <c r="Q61" s="23" t="str">
        <f>_xlfn.IFNA(IF(SUM(D61:O61)=0,VLOOKUP(C61,DASHBOARD!$L$9:$M$11,2,0)*12,VLOOKUP(C61,DASHBOARD!$L$9:$M$11,2,0)*12-P61),"")</f>
        <v/>
      </c>
      <c r="U61" s="20"/>
      <c r="V61" s="20"/>
      <c r="W61" s="20"/>
      <c r="X61" s="27"/>
      <c r="Y61" s="27"/>
      <c r="Z61" s="27"/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3"/>
    </row>
    <row r="62" spans="1:37">
      <c r="A62" s="20"/>
      <c r="B62" s="20"/>
      <c r="C62" s="20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 t="str">
        <f t="shared" si="0"/>
        <v/>
      </c>
      <c r="Q62" s="23" t="str">
        <f>_xlfn.IFNA(IF(SUM(D62:O62)=0,VLOOKUP(C62,DASHBOARD!$L$9:$M$11,2,0)*12,VLOOKUP(C62,DASHBOARD!$L$9:$M$11,2,0)*12-P62),"")</f>
        <v/>
      </c>
      <c r="U62" s="20"/>
      <c r="V62" s="20"/>
      <c r="W62" s="20"/>
      <c r="X62" s="27"/>
      <c r="Y62" s="27"/>
      <c r="Z62" s="27"/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3"/>
    </row>
    <row r="63" spans="1:37">
      <c r="A63" s="20"/>
      <c r="B63" s="20"/>
      <c r="C63" s="20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 t="str">
        <f t="shared" si="0"/>
        <v/>
      </c>
      <c r="Q63" s="23" t="str">
        <f>_xlfn.IFNA(IF(SUM(D63:O63)=0,VLOOKUP(C63,DASHBOARD!$L$9:$M$11,2,0)*12,VLOOKUP(C63,DASHBOARD!$L$9:$M$11,2,0)*12-P63),"")</f>
        <v/>
      </c>
      <c r="U63" s="20"/>
      <c r="V63" s="20"/>
      <c r="W63" s="20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27"/>
      <c r="AK63" s="23"/>
    </row>
    <row r="64" spans="1:37">
      <c r="A64" s="20"/>
      <c r="B64" s="20"/>
      <c r="C64" s="20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 t="str">
        <f t="shared" si="0"/>
        <v/>
      </c>
      <c r="Q64" s="23" t="str">
        <f>_xlfn.IFNA(IF(SUM(D64:O64)=0,VLOOKUP(C64,DASHBOARD!$L$9:$M$11,2,0)*12,VLOOKUP(C64,DASHBOARD!$L$9:$M$11,2,0)*12-P64),"")</f>
        <v/>
      </c>
      <c r="U64" s="20"/>
      <c r="V64" s="20"/>
      <c r="W64" s="20"/>
      <c r="X64" s="27"/>
      <c r="Y64" s="27"/>
      <c r="Z64" s="27"/>
      <c r="AA64" s="27"/>
      <c r="AB64" s="27"/>
      <c r="AC64" s="27"/>
      <c r="AD64" s="27"/>
      <c r="AE64" s="27"/>
      <c r="AF64" s="27"/>
      <c r="AG64" s="27"/>
      <c r="AH64" s="27"/>
      <c r="AI64" s="27"/>
      <c r="AJ64" s="27"/>
      <c r="AK64" s="23"/>
    </row>
    <row r="65" spans="1:37">
      <c r="A65" s="20"/>
      <c r="B65" s="20"/>
      <c r="C65" s="20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 t="str">
        <f t="shared" si="0"/>
        <v/>
      </c>
      <c r="Q65" s="23" t="str">
        <f>_xlfn.IFNA(IF(SUM(D65:O65)=0,VLOOKUP(C65,DASHBOARD!$L$9:$M$11,2,0)*12,VLOOKUP(C65,DASHBOARD!$L$9:$M$11,2,0)*12-P65),"")</f>
        <v/>
      </c>
      <c r="U65" s="20"/>
      <c r="V65" s="20"/>
      <c r="W65" s="20"/>
      <c r="X65" s="27"/>
      <c r="Y65" s="27"/>
      <c r="Z65" s="2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3"/>
    </row>
    <row r="66" spans="1:37">
      <c r="A66" s="20"/>
      <c r="B66" s="20"/>
      <c r="C66" s="20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 t="str">
        <f t="shared" si="0"/>
        <v/>
      </c>
      <c r="Q66" s="23" t="str">
        <f>_xlfn.IFNA(IF(SUM(D66:O66)=0,VLOOKUP(C66,DASHBOARD!$L$9:$M$11,2,0)*12,VLOOKUP(C66,DASHBOARD!$L$9:$M$11,2,0)*12-P66),"")</f>
        <v/>
      </c>
      <c r="U66" s="20"/>
      <c r="V66" s="20"/>
      <c r="W66" s="20"/>
      <c r="X66" s="27"/>
      <c r="Y66" s="27"/>
      <c r="Z66" s="27"/>
      <c r="AA66" s="27"/>
      <c r="AB66" s="27"/>
      <c r="AC66" s="27"/>
      <c r="AD66" s="27"/>
      <c r="AE66" s="27"/>
      <c r="AF66" s="27"/>
      <c r="AG66" s="27"/>
      <c r="AH66" s="27"/>
      <c r="AI66" s="27"/>
      <c r="AJ66" s="27"/>
      <c r="AK66" s="23"/>
    </row>
    <row r="67" spans="1:37">
      <c r="A67" s="20"/>
      <c r="B67" s="20"/>
      <c r="C67" s="20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 t="str">
        <f t="shared" si="0"/>
        <v/>
      </c>
      <c r="Q67" s="23" t="str">
        <f>_xlfn.IFNA(IF(SUM(D67:O67)=0,VLOOKUP(C67,DASHBOARD!$L$9:$M$11,2,0)*12,VLOOKUP(C67,DASHBOARD!$L$9:$M$11,2,0)*12-P67),"")</f>
        <v/>
      </c>
      <c r="U67" s="20"/>
      <c r="V67" s="20"/>
      <c r="W67" s="20"/>
      <c r="X67" s="27"/>
      <c r="Y67" s="27"/>
      <c r="Z67" s="27"/>
      <c r="AA67" s="27"/>
      <c r="AB67" s="27"/>
      <c r="AC67" s="27"/>
      <c r="AD67" s="27"/>
      <c r="AE67" s="27"/>
      <c r="AF67" s="27"/>
      <c r="AG67" s="27"/>
      <c r="AH67" s="27"/>
      <c r="AI67" s="27"/>
      <c r="AJ67" s="27"/>
      <c r="AK67" s="23"/>
    </row>
    <row r="68" spans="1:37">
      <c r="A68" s="20"/>
      <c r="B68" s="20"/>
      <c r="C68" s="20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 t="str">
        <f t="shared" si="0"/>
        <v/>
      </c>
      <c r="Q68" s="23" t="str">
        <f>_xlfn.IFNA(IF(SUM(D68:O68)=0,VLOOKUP(C68,DASHBOARD!$L$9:$M$11,2,0)*12,VLOOKUP(C68,DASHBOARD!$L$9:$M$11,2,0)*12-P68),"")</f>
        <v/>
      </c>
      <c r="U68" s="20"/>
      <c r="V68" s="20"/>
      <c r="W68" s="20"/>
      <c r="X68" s="27"/>
      <c r="Y68" s="27"/>
      <c r="Z68" s="27"/>
      <c r="AA68" s="27"/>
      <c r="AB68" s="27"/>
      <c r="AC68" s="27"/>
      <c r="AD68" s="27"/>
      <c r="AE68" s="27"/>
      <c r="AF68" s="27"/>
      <c r="AG68" s="27"/>
      <c r="AH68" s="27"/>
      <c r="AI68" s="27"/>
      <c r="AJ68" s="27"/>
      <c r="AK68" s="23"/>
    </row>
    <row r="69" spans="1:37">
      <c r="A69" s="20"/>
      <c r="B69" s="20"/>
      <c r="C69" s="20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 t="str">
        <f t="shared" ref="P69:P132" si="1">IF(SUM(D69:O69)=0,"",SUM(D69:O69))</f>
        <v/>
      </c>
      <c r="Q69" s="23" t="str">
        <f>_xlfn.IFNA(IF(SUM(D69:O69)=0,VLOOKUP(C69,DASHBOARD!$L$9:$M$11,2,0)*12,VLOOKUP(C69,DASHBOARD!$L$9:$M$11,2,0)*12-P69),"")</f>
        <v/>
      </c>
      <c r="U69" s="20"/>
      <c r="V69" s="20"/>
      <c r="W69" s="20"/>
      <c r="X69" s="27"/>
      <c r="Y69" s="27"/>
      <c r="Z69" s="27"/>
      <c r="AA69" s="27"/>
      <c r="AB69" s="27"/>
      <c r="AC69" s="27"/>
      <c r="AD69" s="27"/>
      <c r="AE69" s="27"/>
      <c r="AF69" s="27"/>
      <c r="AG69" s="27"/>
      <c r="AH69" s="27"/>
      <c r="AI69" s="27"/>
      <c r="AJ69" s="27"/>
      <c r="AK69" s="23"/>
    </row>
    <row r="70" spans="1:37">
      <c r="A70" s="20"/>
      <c r="B70" s="20"/>
      <c r="C70" s="20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 t="str">
        <f t="shared" si="1"/>
        <v/>
      </c>
      <c r="Q70" s="23" t="str">
        <f>_xlfn.IFNA(IF(SUM(D70:O70)=0,VLOOKUP(C70,DASHBOARD!$L$9:$M$11,2,0)*12,VLOOKUP(C70,DASHBOARD!$L$9:$M$11,2,0)*12-P70),"")</f>
        <v/>
      </c>
      <c r="U70" s="20"/>
      <c r="V70" s="20"/>
      <c r="W70" s="20"/>
      <c r="X70" s="27"/>
      <c r="Y70" s="27"/>
      <c r="Z70" s="27"/>
      <c r="AA70" s="27"/>
      <c r="AB70" s="27"/>
      <c r="AC70" s="27"/>
      <c r="AD70" s="27"/>
      <c r="AE70" s="27"/>
      <c r="AF70" s="27"/>
      <c r="AG70" s="27"/>
      <c r="AH70" s="27"/>
      <c r="AI70" s="27"/>
      <c r="AJ70" s="27"/>
      <c r="AK70" s="23"/>
    </row>
    <row r="71" spans="1:37">
      <c r="A71" s="20"/>
      <c r="B71" s="20"/>
      <c r="C71" s="20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 t="str">
        <f t="shared" si="1"/>
        <v/>
      </c>
      <c r="Q71" s="23" t="str">
        <f>_xlfn.IFNA(IF(SUM(D71:O71)=0,VLOOKUP(C71,DASHBOARD!$L$9:$M$11,2,0)*12,VLOOKUP(C71,DASHBOARD!$L$9:$M$11,2,0)*12-P71),"")</f>
        <v/>
      </c>
      <c r="U71" s="20"/>
      <c r="V71" s="20"/>
      <c r="W71" s="20"/>
      <c r="X71" s="27"/>
      <c r="Y71" s="27"/>
      <c r="Z71" s="27"/>
      <c r="AA71" s="27"/>
      <c r="AB71" s="27"/>
      <c r="AC71" s="27"/>
      <c r="AD71" s="27"/>
      <c r="AE71" s="27"/>
      <c r="AF71" s="27"/>
      <c r="AG71" s="27"/>
      <c r="AH71" s="27"/>
      <c r="AI71" s="27"/>
      <c r="AJ71" s="27"/>
      <c r="AK71" s="23"/>
    </row>
    <row r="72" spans="1:37">
      <c r="A72" s="20"/>
      <c r="B72" s="20"/>
      <c r="C72" s="20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 t="str">
        <f t="shared" si="1"/>
        <v/>
      </c>
      <c r="Q72" s="23" t="str">
        <f>_xlfn.IFNA(IF(SUM(D72:O72)=0,VLOOKUP(C72,DASHBOARD!$L$9:$M$11,2,0)*12,VLOOKUP(C72,DASHBOARD!$L$9:$M$11,2,0)*12-P72),"")</f>
        <v/>
      </c>
      <c r="U72" s="20"/>
      <c r="V72" s="20"/>
      <c r="W72" s="20"/>
      <c r="X72" s="27"/>
      <c r="Y72" s="27"/>
      <c r="Z72" s="27"/>
      <c r="AA72" s="27"/>
      <c r="AB72" s="27"/>
      <c r="AC72" s="27"/>
      <c r="AD72" s="27"/>
      <c r="AE72" s="27"/>
      <c r="AF72" s="27"/>
      <c r="AG72" s="27"/>
      <c r="AH72" s="27"/>
      <c r="AI72" s="27"/>
      <c r="AJ72" s="27"/>
      <c r="AK72" s="23"/>
    </row>
    <row r="73" spans="1:37">
      <c r="A73" s="20"/>
      <c r="B73" s="20"/>
      <c r="C73" s="20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 t="str">
        <f t="shared" si="1"/>
        <v/>
      </c>
      <c r="Q73" s="23" t="str">
        <f>_xlfn.IFNA(IF(SUM(D73:O73)=0,VLOOKUP(C73,DASHBOARD!$L$9:$M$11,2,0)*12,VLOOKUP(C73,DASHBOARD!$L$9:$M$11,2,0)*12-P73),"")</f>
        <v/>
      </c>
      <c r="U73" s="20"/>
      <c r="V73" s="20"/>
      <c r="W73" s="20"/>
      <c r="X73" s="27"/>
      <c r="Y73" s="27"/>
      <c r="Z73" s="27"/>
      <c r="AA73" s="27"/>
      <c r="AB73" s="27"/>
      <c r="AC73" s="27"/>
      <c r="AD73" s="27"/>
      <c r="AE73" s="27"/>
      <c r="AF73" s="27"/>
      <c r="AG73" s="27"/>
      <c r="AH73" s="27"/>
      <c r="AI73" s="27"/>
      <c r="AJ73" s="27"/>
      <c r="AK73" s="23"/>
    </row>
    <row r="74" spans="1:37">
      <c r="A74" s="20"/>
      <c r="B74" s="20"/>
      <c r="C74" s="20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 t="str">
        <f t="shared" si="1"/>
        <v/>
      </c>
      <c r="Q74" s="23" t="str">
        <f>_xlfn.IFNA(IF(SUM(D74:O74)=0,VLOOKUP(C74,DASHBOARD!$L$9:$M$11,2,0)*12,VLOOKUP(C74,DASHBOARD!$L$9:$M$11,2,0)*12-P74),"")</f>
        <v/>
      </c>
      <c r="U74" s="20"/>
      <c r="V74" s="20"/>
      <c r="W74" s="20"/>
      <c r="X74" s="27"/>
      <c r="Y74" s="27"/>
      <c r="Z74" s="27"/>
      <c r="AA74" s="27"/>
      <c r="AB74" s="27"/>
      <c r="AC74" s="27"/>
      <c r="AD74" s="27"/>
      <c r="AE74" s="27"/>
      <c r="AF74" s="27"/>
      <c r="AG74" s="27"/>
      <c r="AH74" s="27"/>
      <c r="AI74" s="27"/>
      <c r="AJ74" s="27"/>
      <c r="AK74" s="23"/>
    </row>
    <row r="75" spans="1:37">
      <c r="A75" s="20"/>
      <c r="B75" s="20"/>
      <c r="C75" s="20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 t="str">
        <f t="shared" si="1"/>
        <v/>
      </c>
      <c r="Q75" s="23" t="str">
        <f>_xlfn.IFNA(IF(SUM(D75:O75)=0,VLOOKUP(C75,DASHBOARD!$L$9:$M$11,2,0)*12,VLOOKUP(C75,DASHBOARD!$L$9:$M$11,2,0)*12-P75),"")</f>
        <v/>
      </c>
      <c r="U75" s="20"/>
      <c r="V75" s="20"/>
      <c r="W75" s="20"/>
      <c r="X75" s="27"/>
      <c r="Y75" s="27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3"/>
    </row>
    <row r="76" spans="1:37">
      <c r="A76" s="20"/>
      <c r="B76" s="20"/>
      <c r="C76" s="20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 t="str">
        <f t="shared" si="1"/>
        <v/>
      </c>
      <c r="Q76" s="23" t="str">
        <f>_xlfn.IFNA(IF(SUM(D76:O76)=0,VLOOKUP(C76,DASHBOARD!$L$9:$M$11,2,0)*12,VLOOKUP(C76,DASHBOARD!$L$9:$M$11,2,0)*12-P76),"")</f>
        <v/>
      </c>
      <c r="U76" s="20"/>
      <c r="V76" s="20"/>
      <c r="W76" s="20"/>
      <c r="X76" s="27"/>
      <c r="Y76" s="27"/>
      <c r="Z76" s="27"/>
      <c r="AA76" s="27"/>
      <c r="AB76" s="27"/>
      <c r="AC76" s="27"/>
      <c r="AD76" s="27"/>
      <c r="AE76" s="27"/>
      <c r="AF76" s="27"/>
      <c r="AG76" s="27"/>
      <c r="AH76" s="27"/>
      <c r="AI76" s="27"/>
      <c r="AJ76" s="27"/>
      <c r="AK76" s="23"/>
    </row>
    <row r="77" spans="1:37">
      <c r="A77" s="20"/>
      <c r="B77" s="20"/>
      <c r="C77" s="20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 t="str">
        <f t="shared" si="1"/>
        <v/>
      </c>
      <c r="Q77" s="23" t="str">
        <f>_xlfn.IFNA(IF(SUM(D77:O77)=0,VLOOKUP(C77,DASHBOARD!$L$9:$M$11,2,0)*12,VLOOKUP(C77,DASHBOARD!$L$9:$M$11,2,0)*12-P77),"")</f>
        <v/>
      </c>
      <c r="U77" s="20"/>
      <c r="V77" s="20"/>
      <c r="W77" s="20"/>
      <c r="X77" s="27"/>
      <c r="Y77" s="27"/>
      <c r="Z77" s="27"/>
      <c r="AA77" s="27"/>
      <c r="AB77" s="27"/>
      <c r="AC77" s="27"/>
      <c r="AD77" s="27"/>
      <c r="AE77" s="27"/>
      <c r="AF77" s="27"/>
      <c r="AG77" s="27"/>
      <c r="AH77" s="27"/>
      <c r="AI77" s="27"/>
      <c r="AJ77" s="27"/>
      <c r="AK77" s="23"/>
    </row>
    <row r="78" spans="1:37">
      <c r="A78" s="20"/>
      <c r="B78" s="20"/>
      <c r="C78" s="20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 t="str">
        <f t="shared" si="1"/>
        <v/>
      </c>
      <c r="Q78" s="23" t="str">
        <f>_xlfn.IFNA(IF(SUM(D78:O78)=0,VLOOKUP(C78,DASHBOARD!$L$9:$M$11,2,0)*12,VLOOKUP(C78,DASHBOARD!$L$9:$M$11,2,0)*12-P78),"")</f>
        <v/>
      </c>
      <c r="U78" s="20"/>
      <c r="V78" s="20"/>
      <c r="W78" s="20"/>
      <c r="X78" s="27"/>
      <c r="Y78" s="27"/>
      <c r="Z78" s="27"/>
      <c r="AA78" s="27"/>
      <c r="AB78" s="27"/>
      <c r="AC78" s="27"/>
      <c r="AD78" s="27"/>
      <c r="AE78" s="27"/>
      <c r="AF78" s="27"/>
      <c r="AG78" s="27"/>
      <c r="AH78" s="27"/>
      <c r="AI78" s="27"/>
      <c r="AJ78" s="27"/>
      <c r="AK78" s="23"/>
    </row>
    <row r="79" spans="1:37">
      <c r="A79" s="20"/>
      <c r="B79" s="20"/>
      <c r="C79" s="20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 t="str">
        <f t="shared" si="1"/>
        <v/>
      </c>
      <c r="Q79" s="23" t="str">
        <f>_xlfn.IFNA(IF(SUM(D79:O79)=0,VLOOKUP(C79,DASHBOARD!$L$9:$M$11,2,0)*12,VLOOKUP(C79,DASHBOARD!$L$9:$M$11,2,0)*12-P79),"")</f>
        <v/>
      </c>
      <c r="U79" s="20"/>
      <c r="V79" s="20"/>
      <c r="W79" s="20"/>
      <c r="X79" s="27"/>
      <c r="Y79" s="27"/>
      <c r="Z79" s="27"/>
      <c r="AA79" s="27"/>
      <c r="AB79" s="27"/>
      <c r="AC79" s="27"/>
      <c r="AD79" s="27"/>
      <c r="AE79" s="27"/>
      <c r="AF79" s="27"/>
      <c r="AG79" s="27"/>
      <c r="AH79" s="27"/>
      <c r="AI79" s="27"/>
      <c r="AJ79" s="27"/>
      <c r="AK79" s="23"/>
    </row>
    <row r="80" spans="1:37">
      <c r="A80" s="20"/>
      <c r="B80" s="20"/>
      <c r="C80" s="20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 t="str">
        <f t="shared" si="1"/>
        <v/>
      </c>
      <c r="Q80" s="23" t="str">
        <f>_xlfn.IFNA(IF(SUM(D80:O80)=0,VLOOKUP(C80,DASHBOARD!$L$9:$M$11,2,0)*12,VLOOKUP(C80,DASHBOARD!$L$9:$M$11,2,0)*12-P80),"")</f>
        <v/>
      </c>
      <c r="U80" s="20"/>
      <c r="V80" s="20"/>
      <c r="W80" s="20"/>
      <c r="X80" s="27"/>
      <c r="Y80" s="27"/>
      <c r="Z80" s="27"/>
      <c r="AA80" s="27"/>
      <c r="AB80" s="27"/>
      <c r="AC80" s="27"/>
      <c r="AD80" s="27"/>
      <c r="AE80" s="27"/>
      <c r="AF80" s="27"/>
      <c r="AG80" s="27"/>
      <c r="AH80" s="27"/>
      <c r="AI80" s="27"/>
      <c r="AJ80" s="27"/>
      <c r="AK80" s="23"/>
    </row>
    <row r="81" spans="1:37">
      <c r="A81" s="20"/>
      <c r="B81" s="20"/>
      <c r="C81" s="20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 t="str">
        <f t="shared" si="1"/>
        <v/>
      </c>
      <c r="Q81" s="23" t="str">
        <f>_xlfn.IFNA(IF(SUM(D81:O81)=0,VLOOKUP(C81,DASHBOARD!$L$9:$M$11,2,0)*12,VLOOKUP(C81,DASHBOARD!$L$9:$M$11,2,0)*12-P81),"")</f>
        <v/>
      </c>
      <c r="U81" s="20"/>
      <c r="V81" s="20"/>
      <c r="W81" s="20"/>
      <c r="X81" s="27"/>
      <c r="Y81" s="27"/>
      <c r="Z81" s="27"/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3"/>
    </row>
    <row r="82" spans="1:37">
      <c r="A82" s="20"/>
      <c r="B82" s="20"/>
      <c r="C82" s="20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 t="str">
        <f t="shared" si="1"/>
        <v/>
      </c>
      <c r="Q82" s="23" t="str">
        <f>_xlfn.IFNA(IF(SUM(D82:O82)=0,VLOOKUP(C82,DASHBOARD!$L$9:$M$11,2,0)*12,VLOOKUP(C82,DASHBOARD!$L$9:$M$11,2,0)*12-P82),"")</f>
        <v/>
      </c>
      <c r="U82" s="20"/>
      <c r="V82" s="20"/>
      <c r="W82" s="20"/>
      <c r="X82" s="27"/>
      <c r="Y82" s="27"/>
      <c r="Z82" s="27"/>
      <c r="AA82" s="27"/>
      <c r="AB82" s="27"/>
      <c r="AC82" s="27"/>
      <c r="AD82" s="27"/>
      <c r="AE82" s="27"/>
      <c r="AF82" s="27"/>
      <c r="AG82" s="27"/>
      <c r="AH82" s="27"/>
      <c r="AI82" s="27"/>
      <c r="AJ82" s="27"/>
      <c r="AK82" s="23"/>
    </row>
    <row r="83" spans="1:37">
      <c r="A83" s="20"/>
      <c r="B83" s="20"/>
      <c r="C83" s="20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 t="str">
        <f t="shared" si="1"/>
        <v/>
      </c>
      <c r="Q83" s="23" t="str">
        <f>_xlfn.IFNA(IF(SUM(D83:O83)=0,VLOOKUP(C83,DASHBOARD!$L$9:$M$11,2,0)*12,VLOOKUP(C83,DASHBOARD!$L$9:$M$11,2,0)*12-P83),"")</f>
        <v/>
      </c>
      <c r="U83" s="20"/>
      <c r="V83" s="20"/>
      <c r="W83" s="20"/>
      <c r="X83" s="27"/>
      <c r="Y83" s="27"/>
      <c r="Z83" s="27"/>
      <c r="AA83" s="27"/>
      <c r="AB83" s="27"/>
      <c r="AC83" s="27"/>
      <c r="AD83" s="27"/>
      <c r="AE83" s="27"/>
      <c r="AF83" s="27"/>
      <c r="AG83" s="27"/>
      <c r="AH83" s="27"/>
      <c r="AI83" s="27"/>
      <c r="AJ83" s="27"/>
      <c r="AK83" s="23"/>
    </row>
    <row r="84" spans="1:37">
      <c r="A84" s="20"/>
      <c r="B84" s="20"/>
      <c r="C84" s="20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 t="str">
        <f t="shared" si="1"/>
        <v/>
      </c>
      <c r="Q84" s="23" t="str">
        <f>_xlfn.IFNA(IF(SUM(D84:O84)=0,VLOOKUP(C84,DASHBOARD!$L$9:$M$11,2,0)*12,VLOOKUP(C84,DASHBOARD!$L$9:$M$11,2,0)*12-P84),"")</f>
        <v/>
      </c>
      <c r="U84" s="20"/>
      <c r="V84" s="20"/>
      <c r="W84" s="20"/>
      <c r="X84" s="27"/>
      <c r="Y84" s="27"/>
      <c r="Z84" s="27"/>
      <c r="AA84" s="27"/>
      <c r="AB84" s="27"/>
      <c r="AC84" s="27"/>
      <c r="AD84" s="27"/>
      <c r="AE84" s="27"/>
      <c r="AF84" s="27"/>
      <c r="AG84" s="27"/>
      <c r="AH84" s="27"/>
      <c r="AI84" s="27"/>
      <c r="AJ84" s="27"/>
      <c r="AK84" s="23"/>
    </row>
    <row r="85" spans="1:37">
      <c r="A85" s="20"/>
      <c r="B85" s="20"/>
      <c r="C85" s="20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 t="str">
        <f t="shared" si="1"/>
        <v/>
      </c>
      <c r="Q85" s="23" t="str">
        <f>_xlfn.IFNA(IF(SUM(D85:O85)=0,VLOOKUP(C85,DASHBOARD!$L$9:$M$11,2,0)*12,VLOOKUP(C85,DASHBOARD!$L$9:$M$11,2,0)*12-P85),"")</f>
        <v/>
      </c>
      <c r="U85" s="20"/>
      <c r="V85" s="20"/>
      <c r="W85" s="20"/>
      <c r="X85" s="27"/>
      <c r="Y85" s="27"/>
      <c r="Z85" s="27"/>
      <c r="AA85" s="27"/>
      <c r="AB85" s="27"/>
      <c r="AC85" s="27"/>
      <c r="AD85" s="27"/>
      <c r="AE85" s="27"/>
      <c r="AF85" s="27"/>
      <c r="AG85" s="27"/>
      <c r="AH85" s="27"/>
      <c r="AI85" s="27"/>
      <c r="AJ85" s="27"/>
      <c r="AK85" s="23"/>
    </row>
    <row r="86" spans="1:37">
      <c r="A86" s="20"/>
      <c r="B86" s="20"/>
      <c r="C86" s="20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 t="str">
        <f t="shared" si="1"/>
        <v/>
      </c>
      <c r="Q86" s="23" t="str">
        <f>_xlfn.IFNA(IF(SUM(D86:O86)=0,VLOOKUP(C86,DASHBOARD!$L$9:$M$11,2,0)*12,VLOOKUP(C86,DASHBOARD!$L$9:$M$11,2,0)*12-P86),"")</f>
        <v/>
      </c>
      <c r="U86" s="20"/>
      <c r="V86" s="20"/>
      <c r="W86" s="20"/>
      <c r="X86" s="27"/>
      <c r="Y86" s="27"/>
      <c r="Z86" s="27"/>
      <c r="AA86" s="27"/>
      <c r="AB86" s="27"/>
      <c r="AC86" s="27"/>
      <c r="AD86" s="27"/>
      <c r="AE86" s="27"/>
      <c r="AF86" s="27"/>
      <c r="AG86" s="27"/>
      <c r="AH86" s="27"/>
      <c r="AI86" s="27"/>
      <c r="AJ86" s="27"/>
      <c r="AK86" s="23"/>
    </row>
    <row r="87" spans="1:37">
      <c r="A87" s="20"/>
      <c r="B87" s="20"/>
      <c r="C87" s="20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 t="str">
        <f t="shared" si="1"/>
        <v/>
      </c>
      <c r="Q87" s="23" t="str">
        <f>_xlfn.IFNA(IF(SUM(D87:O87)=0,VLOOKUP(C87,DASHBOARD!$L$9:$M$11,2,0)*12,VLOOKUP(C87,DASHBOARD!$L$9:$M$11,2,0)*12-P87),"")</f>
        <v/>
      </c>
      <c r="U87" s="20"/>
      <c r="V87" s="20"/>
      <c r="W87" s="20"/>
      <c r="X87" s="27"/>
      <c r="Y87" s="27"/>
      <c r="Z87" s="27"/>
      <c r="AA87" s="27"/>
      <c r="AB87" s="27"/>
      <c r="AC87" s="27"/>
      <c r="AD87" s="27"/>
      <c r="AE87" s="27"/>
      <c r="AF87" s="27"/>
      <c r="AG87" s="27"/>
      <c r="AH87" s="27"/>
      <c r="AI87" s="27"/>
      <c r="AJ87" s="27"/>
      <c r="AK87" s="23"/>
    </row>
    <row r="88" spans="1:37">
      <c r="A88" s="20"/>
      <c r="B88" s="20"/>
      <c r="C88" s="20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 t="str">
        <f t="shared" si="1"/>
        <v/>
      </c>
      <c r="Q88" s="23" t="str">
        <f>_xlfn.IFNA(IF(SUM(D88:O88)=0,VLOOKUP(C88,DASHBOARD!$L$9:$M$11,2,0)*12,VLOOKUP(C88,DASHBOARD!$L$9:$M$11,2,0)*12-P88),"")</f>
        <v/>
      </c>
      <c r="U88" s="20"/>
      <c r="V88" s="20"/>
      <c r="W88" s="20"/>
      <c r="X88" s="27"/>
      <c r="Y88" s="27"/>
      <c r="Z88" s="27"/>
      <c r="AA88" s="27"/>
      <c r="AB88" s="27"/>
      <c r="AC88" s="27"/>
      <c r="AD88" s="27"/>
      <c r="AE88" s="27"/>
      <c r="AF88" s="27"/>
      <c r="AG88" s="27"/>
      <c r="AH88" s="27"/>
      <c r="AI88" s="27"/>
      <c r="AJ88" s="27"/>
      <c r="AK88" s="23"/>
    </row>
    <row r="89" spans="1:37">
      <c r="A89" s="20"/>
      <c r="B89" s="20"/>
      <c r="C89" s="20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 t="str">
        <f t="shared" si="1"/>
        <v/>
      </c>
      <c r="Q89" s="23" t="str">
        <f>_xlfn.IFNA(IF(SUM(D89:O89)=0,VLOOKUP(C89,DASHBOARD!$L$9:$M$11,2,0)*12,VLOOKUP(C89,DASHBOARD!$L$9:$M$11,2,0)*12-P89),"")</f>
        <v/>
      </c>
      <c r="U89" s="20"/>
      <c r="V89" s="20"/>
      <c r="W89" s="20"/>
      <c r="X89" s="27"/>
      <c r="Y89" s="27"/>
      <c r="Z89" s="27"/>
      <c r="AA89" s="27"/>
      <c r="AB89" s="27"/>
      <c r="AC89" s="27"/>
      <c r="AD89" s="27"/>
      <c r="AE89" s="27"/>
      <c r="AF89" s="27"/>
      <c r="AG89" s="27"/>
      <c r="AH89" s="27"/>
      <c r="AI89" s="27"/>
      <c r="AJ89" s="27"/>
      <c r="AK89" s="23"/>
    </row>
    <row r="90" spans="1:37">
      <c r="A90" s="20"/>
      <c r="B90" s="20"/>
      <c r="C90" s="20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 t="str">
        <f t="shared" si="1"/>
        <v/>
      </c>
      <c r="Q90" s="23" t="str">
        <f>_xlfn.IFNA(IF(SUM(D90:O90)=0,VLOOKUP(C90,DASHBOARD!$L$9:$M$11,2,0)*12,VLOOKUP(C90,DASHBOARD!$L$9:$M$11,2,0)*12-P90),"")</f>
        <v/>
      </c>
      <c r="U90" s="20"/>
      <c r="V90" s="20"/>
      <c r="W90" s="20"/>
      <c r="X90" s="27"/>
      <c r="Y90" s="27"/>
      <c r="Z90" s="27"/>
      <c r="AA90" s="27"/>
      <c r="AB90" s="27"/>
      <c r="AC90" s="27"/>
      <c r="AD90" s="27"/>
      <c r="AE90" s="27"/>
      <c r="AF90" s="27"/>
      <c r="AG90" s="27"/>
      <c r="AH90" s="27"/>
      <c r="AI90" s="27"/>
      <c r="AJ90" s="27"/>
      <c r="AK90" s="23"/>
    </row>
    <row r="91" spans="1:37">
      <c r="A91" s="20"/>
      <c r="B91" s="20"/>
      <c r="C91" s="20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 t="str">
        <f t="shared" si="1"/>
        <v/>
      </c>
      <c r="Q91" s="23" t="str">
        <f>_xlfn.IFNA(IF(SUM(D91:O91)=0,VLOOKUP(C91,DASHBOARD!$L$9:$M$11,2,0)*12,VLOOKUP(C91,DASHBOARD!$L$9:$M$11,2,0)*12-P91),"")</f>
        <v/>
      </c>
      <c r="U91" s="20"/>
      <c r="V91" s="20"/>
      <c r="W91" s="20"/>
      <c r="X91" s="27"/>
      <c r="Y91" s="27"/>
      <c r="Z91" s="27"/>
      <c r="AA91" s="27"/>
      <c r="AB91" s="27"/>
      <c r="AC91" s="27"/>
      <c r="AD91" s="27"/>
      <c r="AE91" s="27"/>
      <c r="AF91" s="27"/>
      <c r="AG91" s="27"/>
      <c r="AH91" s="27"/>
      <c r="AI91" s="27"/>
      <c r="AJ91" s="27"/>
      <c r="AK91" s="23"/>
    </row>
    <row r="92" spans="1:37">
      <c r="A92" s="20"/>
      <c r="B92" s="20"/>
      <c r="C92" s="20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 t="str">
        <f t="shared" si="1"/>
        <v/>
      </c>
      <c r="Q92" s="23" t="str">
        <f>_xlfn.IFNA(IF(SUM(D92:O92)=0,VLOOKUP(C92,DASHBOARD!$L$9:$M$11,2,0)*12,VLOOKUP(C92,DASHBOARD!$L$9:$M$11,2,0)*12-P92),"")</f>
        <v/>
      </c>
      <c r="U92" s="20"/>
      <c r="V92" s="20"/>
      <c r="W92" s="20"/>
      <c r="X92" s="27"/>
      <c r="Y92" s="27"/>
      <c r="Z92" s="27"/>
      <c r="AA92" s="27"/>
      <c r="AB92" s="27"/>
      <c r="AC92" s="27"/>
      <c r="AD92" s="27"/>
      <c r="AE92" s="27"/>
      <c r="AF92" s="27"/>
      <c r="AG92" s="27"/>
      <c r="AH92" s="27"/>
      <c r="AI92" s="27"/>
      <c r="AJ92" s="27"/>
      <c r="AK92" s="23"/>
    </row>
    <row r="93" spans="1:37">
      <c r="A93" s="20"/>
      <c r="B93" s="20"/>
      <c r="C93" s="20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 t="str">
        <f t="shared" si="1"/>
        <v/>
      </c>
      <c r="Q93" s="23" t="str">
        <f>_xlfn.IFNA(IF(SUM(D93:O93)=0,VLOOKUP(C93,DASHBOARD!$L$9:$M$11,2,0)*12,VLOOKUP(C93,DASHBOARD!$L$9:$M$11,2,0)*12-P93),"")</f>
        <v/>
      </c>
      <c r="U93" s="20"/>
      <c r="V93" s="20"/>
      <c r="W93" s="20"/>
      <c r="X93" s="27"/>
      <c r="Y93" s="27"/>
      <c r="Z93" s="27"/>
      <c r="AA93" s="27"/>
      <c r="AB93" s="27"/>
      <c r="AC93" s="27"/>
      <c r="AD93" s="27"/>
      <c r="AE93" s="27"/>
      <c r="AF93" s="27"/>
      <c r="AG93" s="27"/>
      <c r="AH93" s="27"/>
      <c r="AI93" s="27"/>
      <c r="AJ93" s="27"/>
      <c r="AK93" s="23"/>
    </row>
    <row r="94" spans="1:37">
      <c r="A94" s="20"/>
      <c r="B94" s="20"/>
      <c r="C94" s="20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 t="str">
        <f t="shared" si="1"/>
        <v/>
      </c>
      <c r="Q94" s="23" t="str">
        <f>_xlfn.IFNA(IF(SUM(D94:O94)=0,VLOOKUP(C94,DASHBOARD!$L$9:$M$11,2,0)*12,VLOOKUP(C94,DASHBOARD!$L$9:$M$11,2,0)*12-P94),"")</f>
        <v/>
      </c>
      <c r="U94" s="20"/>
      <c r="V94" s="20"/>
      <c r="W94" s="20"/>
      <c r="X94" s="27"/>
      <c r="Y94" s="27"/>
      <c r="Z94" s="27"/>
      <c r="AA94" s="27"/>
      <c r="AB94" s="27"/>
      <c r="AC94" s="27"/>
      <c r="AD94" s="27"/>
      <c r="AE94" s="27"/>
      <c r="AF94" s="27"/>
      <c r="AG94" s="27"/>
      <c r="AH94" s="27"/>
      <c r="AI94" s="27"/>
      <c r="AJ94" s="27"/>
      <c r="AK94" s="23"/>
    </row>
    <row r="95" spans="1:37">
      <c r="A95" s="20"/>
      <c r="B95" s="20"/>
      <c r="C95" s="20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 t="str">
        <f t="shared" si="1"/>
        <v/>
      </c>
      <c r="Q95" s="23" t="str">
        <f>_xlfn.IFNA(IF(SUM(D95:O95)=0,VLOOKUP(C95,DASHBOARD!$L$9:$M$11,2,0)*12,VLOOKUP(C95,DASHBOARD!$L$9:$M$11,2,0)*12-P95),"")</f>
        <v/>
      </c>
      <c r="U95" s="20"/>
      <c r="V95" s="20"/>
      <c r="W95" s="20"/>
      <c r="X95" s="27"/>
      <c r="Y95" s="27"/>
      <c r="Z95" s="27"/>
      <c r="AA95" s="27"/>
      <c r="AB95" s="27"/>
      <c r="AC95" s="27"/>
      <c r="AD95" s="27"/>
      <c r="AE95" s="27"/>
      <c r="AF95" s="27"/>
      <c r="AG95" s="27"/>
      <c r="AH95" s="27"/>
      <c r="AI95" s="27"/>
      <c r="AJ95" s="27"/>
      <c r="AK95" s="23"/>
    </row>
    <row r="96" spans="1:37">
      <c r="A96" s="20"/>
      <c r="B96" s="20"/>
      <c r="C96" s="20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 t="str">
        <f t="shared" si="1"/>
        <v/>
      </c>
      <c r="Q96" s="23" t="str">
        <f>_xlfn.IFNA(IF(SUM(D96:O96)=0,VLOOKUP(C96,DASHBOARD!$L$9:$M$11,2,0)*12,VLOOKUP(C96,DASHBOARD!$L$9:$M$11,2,0)*12-P96),"")</f>
        <v/>
      </c>
      <c r="U96" s="20"/>
      <c r="V96" s="20"/>
      <c r="W96" s="20"/>
      <c r="X96" s="27"/>
      <c r="Y96" s="27"/>
      <c r="Z96" s="27"/>
      <c r="AA96" s="27"/>
      <c r="AB96" s="27"/>
      <c r="AC96" s="27"/>
      <c r="AD96" s="27"/>
      <c r="AE96" s="27"/>
      <c r="AF96" s="27"/>
      <c r="AG96" s="27"/>
      <c r="AH96" s="27"/>
      <c r="AI96" s="27"/>
      <c r="AJ96" s="27"/>
      <c r="AK96" s="23"/>
    </row>
    <row r="97" spans="1:37">
      <c r="A97" s="20"/>
      <c r="B97" s="20"/>
      <c r="C97" s="20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 t="str">
        <f t="shared" si="1"/>
        <v/>
      </c>
      <c r="Q97" s="23" t="str">
        <f>_xlfn.IFNA(IF(SUM(D97:O97)=0,VLOOKUP(C97,DASHBOARD!$L$9:$M$11,2,0)*12,VLOOKUP(C97,DASHBOARD!$L$9:$M$11,2,0)*12-P97),"")</f>
        <v/>
      </c>
      <c r="U97" s="20"/>
      <c r="V97" s="20"/>
      <c r="W97" s="20"/>
      <c r="X97" s="27"/>
      <c r="Y97" s="27"/>
      <c r="Z97" s="27"/>
      <c r="AA97" s="27"/>
      <c r="AB97" s="27"/>
      <c r="AC97" s="27"/>
      <c r="AD97" s="27"/>
      <c r="AE97" s="27"/>
      <c r="AF97" s="27"/>
      <c r="AG97" s="27"/>
      <c r="AH97" s="27"/>
      <c r="AI97" s="27"/>
      <c r="AJ97" s="27"/>
      <c r="AK97" s="23"/>
    </row>
    <row r="98" spans="1:37">
      <c r="A98" s="20"/>
      <c r="B98" s="20"/>
      <c r="C98" s="20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 t="str">
        <f t="shared" si="1"/>
        <v/>
      </c>
      <c r="Q98" s="23" t="str">
        <f>_xlfn.IFNA(IF(SUM(D98:O98)=0,VLOOKUP(C98,DASHBOARD!$L$9:$M$11,2,0)*12,VLOOKUP(C98,DASHBOARD!$L$9:$M$11,2,0)*12-P98),"")</f>
        <v/>
      </c>
      <c r="U98" s="20"/>
      <c r="V98" s="20"/>
      <c r="W98" s="20"/>
      <c r="X98" s="27"/>
      <c r="Y98" s="27"/>
      <c r="Z98" s="27"/>
      <c r="AA98" s="27"/>
      <c r="AB98" s="27"/>
      <c r="AC98" s="27"/>
      <c r="AD98" s="27"/>
      <c r="AE98" s="27"/>
      <c r="AF98" s="27"/>
      <c r="AG98" s="27"/>
      <c r="AH98" s="27"/>
      <c r="AI98" s="27"/>
      <c r="AJ98" s="27"/>
      <c r="AK98" s="23"/>
    </row>
    <row r="99" spans="1:37">
      <c r="A99" s="20"/>
      <c r="B99" s="20"/>
      <c r="C99" s="20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 t="str">
        <f t="shared" si="1"/>
        <v/>
      </c>
      <c r="Q99" s="23" t="str">
        <f>_xlfn.IFNA(IF(SUM(D99:O99)=0,VLOOKUP(C99,DASHBOARD!$L$9:$M$11,2,0)*12,VLOOKUP(C99,DASHBOARD!$L$9:$M$11,2,0)*12-P99),"")</f>
        <v/>
      </c>
      <c r="U99" s="20"/>
      <c r="V99" s="20"/>
      <c r="W99" s="20"/>
      <c r="X99" s="27"/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/>
      <c r="AK99" s="23"/>
    </row>
    <row r="100" spans="1:37">
      <c r="A100" s="20"/>
      <c r="B100" s="20"/>
      <c r="C100" s="20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 t="str">
        <f t="shared" si="1"/>
        <v/>
      </c>
      <c r="Q100" s="23" t="str">
        <f>_xlfn.IFNA(IF(SUM(D100:O100)=0,VLOOKUP(C100,DASHBOARD!$L$9:$M$11,2,0)*12,VLOOKUP(C100,DASHBOARD!$L$9:$M$11,2,0)*12-P100),"")</f>
        <v/>
      </c>
      <c r="U100" s="20"/>
      <c r="V100" s="20"/>
      <c r="W100" s="20"/>
      <c r="X100" s="27"/>
      <c r="Y100" s="27"/>
      <c r="Z100" s="27"/>
      <c r="AA100" s="27"/>
      <c r="AB100" s="27"/>
      <c r="AC100" s="27"/>
      <c r="AD100" s="27"/>
      <c r="AE100" s="27"/>
      <c r="AF100" s="27"/>
      <c r="AG100" s="27"/>
      <c r="AH100" s="27"/>
      <c r="AI100" s="27"/>
      <c r="AJ100" s="27"/>
      <c r="AK100" s="23"/>
    </row>
    <row r="101" spans="1:37">
      <c r="A101" s="20"/>
      <c r="B101" s="20"/>
      <c r="C101" s="20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 t="str">
        <f t="shared" si="1"/>
        <v/>
      </c>
      <c r="Q101" s="23" t="str">
        <f>_xlfn.IFNA(IF(SUM(D101:O101)=0,VLOOKUP(C101,DASHBOARD!$L$9:$M$11,2,0)*12,VLOOKUP(C101,DASHBOARD!$L$9:$M$11,2,0)*12-P101),"")</f>
        <v/>
      </c>
      <c r="U101" s="20"/>
      <c r="V101" s="20"/>
      <c r="W101" s="20"/>
      <c r="X101" s="27"/>
      <c r="Y101" s="27"/>
      <c r="Z101" s="27"/>
      <c r="AA101" s="27"/>
      <c r="AB101" s="27"/>
      <c r="AC101" s="27"/>
      <c r="AD101" s="27"/>
      <c r="AE101" s="27"/>
      <c r="AF101" s="27"/>
      <c r="AG101" s="27"/>
      <c r="AH101" s="27"/>
      <c r="AI101" s="27"/>
      <c r="AJ101" s="27"/>
      <c r="AK101" s="23"/>
    </row>
    <row r="102" spans="1:37">
      <c r="A102" s="20"/>
      <c r="B102" s="20"/>
      <c r="C102" s="20"/>
      <c r="D102" s="27"/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 t="str">
        <f t="shared" si="1"/>
        <v/>
      </c>
      <c r="Q102" s="23" t="str">
        <f>_xlfn.IFNA(IF(SUM(D102:O102)=0,VLOOKUP(C102,DASHBOARD!$L$9:$M$11,2,0)*12,VLOOKUP(C102,DASHBOARD!$L$9:$M$11,2,0)*12-P102),"")</f>
        <v/>
      </c>
      <c r="U102" s="20"/>
      <c r="V102" s="20"/>
      <c r="W102" s="20"/>
      <c r="X102" s="27"/>
      <c r="Y102" s="27"/>
      <c r="Z102" s="27"/>
      <c r="AA102" s="27"/>
      <c r="AB102" s="27"/>
      <c r="AC102" s="27"/>
      <c r="AD102" s="27"/>
      <c r="AE102" s="27"/>
      <c r="AF102" s="27"/>
      <c r="AG102" s="27"/>
      <c r="AH102" s="27"/>
      <c r="AI102" s="27"/>
      <c r="AJ102" s="27"/>
      <c r="AK102" s="23"/>
    </row>
    <row r="103" spans="1:37">
      <c r="A103" s="20"/>
      <c r="B103" s="20"/>
      <c r="C103" s="20"/>
      <c r="D103" s="27"/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27" t="str">
        <f t="shared" si="1"/>
        <v/>
      </c>
      <c r="Q103" s="23" t="str">
        <f>_xlfn.IFNA(IF(SUM(D103:O103)=0,VLOOKUP(C103,DASHBOARD!$L$9:$M$11,2,0)*12,VLOOKUP(C103,DASHBOARD!$L$9:$M$11,2,0)*12-P103),"")</f>
        <v/>
      </c>
      <c r="U103" s="20"/>
      <c r="V103" s="20"/>
      <c r="W103" s="20"/>
      <c r="X103" s="27"/>
      <c r="Y103" s="27"/>
      <c r="Z103" s="27"/>
      <c r="AA103" s="27"/>
      <c r="AB103" s="27"/>
      <c r="AC103" s="27"/>
      <c r="AD103" s="27"/>
      <c r="AE103" s="27"/>
      <c r="AF103" s="27"/>
      <c r="AG103" s="27"/>
      <c r="AH103" s="27"/>
      <c r="AI103" s="27"/>
      <c r="AJ103" s="27"/>
      <c r="AK103" s="23"/>
    </row>
    <row r="104" spans="1:37">
      <c r="A104" s="20"/>
      <c r="B104" s="20"/>
      <c r="C104" s="20"/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 t="str">
        <f t="shared" si="1"/>
        <v/>
      </c>
      <c r="Q104" s="23" t="str">
        <f>_xlfn.IFNA(IF(SUM(D104:O104)=0,VLOOKUP(C104,DASHBOARD!$L$9:$M$11,2,0)*12,VLOOKUP(C104,DASHBOARD!$L$9:$M$11,2,0)*12-P104),"")</f>
        <v/>
      </c>
      <c r="U104" s="20"/>
      <c r="V104" s="20"/>
      <c r="W104" s="20"/>
      <c r="X104" s="27"/>
      <c r="Y104" s="27"/>
      <c r="Z104" s="27"/>
      <c r="AA104" s="27"/>
      <c r="AB104" s="27"/>
      <c r="AC104" s="27"/>
      <c r="AD104" s="27"/>
      <c r="AE104" s="27"/>
      <c r="AF104" s="27"/>
      <c r="AG104" s="27"/>
      <c r="AH104" s="27"/>
      <c r="AI104" s="27"/>
      <c r="AJ104" s="27"/>
      <c r="AK104" s="23"/>
    </row>
    <row r="105" spans="1:37">
      <c r="A105" s="20"/>
      <c r="B105" s="20"/>
      <c r="C105" s="20"/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 t="str">
        <f t="shared" si="1"/>
        <v/>
      </c>
      <c r="Q105" s="23" t="str">
        <f>_xlfn.IFNA(IF(SUM(D105:O105)=0,VLOOKUP(C105,DASHBOARD!$L$9:$M$11,2,0)*12,VLOOKUP(C105,DASHBOARD!$L$9:$M$11,2,0)*12-P105),"")</f>
        <v/>
      </c>
      <c r="U105" s="20"/>
      <c r="V105" s="20"/>
      <c r="W105" s="20"/>
      <c r="X105" s="27"/>
      <c r="Y105" s="27"/>
      <c r="Z105" s="27"/>
      <c r="AA105" s="27"/>
      <c r="AB105" s="27"/>
      <c r="AC105" s="27"/>
      <c r="AD105" s="27"/>
      <c r="AE105" s="27"/>
      <c r="AF105" s="27"/>
      <c r="AG105" s="27"/>
      <c r="AH105" s="27"/>
      <c r="AI105" s="27"/>
      <c r="AJ105" s="27"/>
      <c r="AK105" s="23"/>
    </row>
    <row r="106" spans="1:37">
      <c r="A106" s="20"/>
      <c r="B106" s="20"/>
      <c r="C106" s="20"/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 t="str">
        <f t="shared" si="1"/>
        <v/>
      </c>
      <c r="Q106" s="23" t="str">
        <f>_xlfn.IFNA(IF(SUM(D106:O106)=0,VLOOKUP(C106,DASHBOARD!$L$9:$M$11,2,0)*12,VLOOKUP(C106,DASHBOARD!$L$9:$M$11,2,0)*12-P106),"")</f>
        <v/>
      </c>
      <c r="U106" s="20"/>
      <c r="V106" s="20"/>
      <c r="W106" s="20"/>
      <c r="X106" s="27"/>
      <c r="Y106" s="27"/>
      <c r="Z106" s="27"/>
      <c r="AA106" s="27"/>
      <c r="AB106" s="27"/>
      <c r="AC106" s="27"/>
      <c r="AD106" s="27"/>
      <c r="AE106" s="27"/>
      <c r="AF106" s="27"/>
      <c r="AG106" s="27"/>
      <c r="AH106" s="27"/>
      <c r="AI106" s="27"/>
      <c r="AJ106" s="27"/>
      <c r="AK106" s="23"/>
    </row>
    <row r="107" spans="1:37">
      <c r="A107" s="20"/>
      <c r="B107" s="20"/>
      <c r="C107" s="20"/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27" t="str">
        <f t="shared" si="1"/>
        <v/>
      </c>
      <c r="Q107" s="23" t="str">
        <f>_xlfn.IFNA(IF(SUM(D107:O107)=0,VLOOKUP(C107,DASHBOARD!$L$9:$M$11,2,0)*12,VLOOKUP(C107,DASHBOARD!$L$9:$M$11,2,0)*12-P107),"")</f>
        <v/>
      </c>
      <c r="U107" s="20"/>
      <c r="V107" s="20"/>
      <c r="W107" s="20"/>
      <c r="X107" s="27"/>
      <c r="Y107" s="27"/>
      <c r="Z107" s="27"/>
      <c r="AA107" s="27"/>
      <c r="AB107" s="27"/>
      <c r="AC107" s="27"/>
      <c r="AD107" s="27"/>
      <c r="AE107" s="27"/>
      <c r="AF107" s="27"/>
      <c r="AG107" s="27"/>
      <c r="AH107" s="27"/>
      <c r="AI107" s="27"/>
      <c r="AJ107" s="27"/>
      <c r="AK107" s="23"/>
    </row>
    <row r="108" spans="1:37">
      <c r="A108" s="20"/>
      <c r="B108" s="20"/>
      <c r="C108" s="20"/>
      <c r="D108" s="27"/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 t="str">
        <f t="shared" si="1"/>
        <v/>
      </c>
      <c r="Q108" s="23" t="str">
        <f>_xlfn.IFNA(IF(SUM(D108:O108)=0,VLOOKUP(C108,DASHBOARD!$L$9:$M$11,2,0)*12,VLOOKUP(C108,DASHBOARD!$L$9:$M$11,2,0)*12-P108),"")</f>
        <v/>
      </c>
      <c r="U108" s="20"/>
      <c r="V108" s="20"/>
      <c r="W108" s="20"/>
      <c r="X108" s="27"/>
      <c r="Y108" s="27"/>
      <c r="Z108" s="27"/>
      <c r="AA108" s="27"/>
      <c r="AB108" s="27"/>
      <c r="AC108" s="27"/>
      <c r="AD108" s="27"/>
      <c r="AE108" s="27"/>
      <c r="AF108" s="27"/>
      <c r="AG108" s="27"/>
      <c r="AH108" s="27"/>
      <c r="AI108" s="27"/>
      <c r="AJ108" s="27"/>
      <c r="AK108" s="23"/>
    </row>
    <row r="109" spans="1:37">
      <c r="A109" s="20"/>
      <c r="B109" s="20"/>
      <c r="C109" s="20"/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27" t="str">
        <f t="shared" si="1"/>
        <v/>
      </c>
      <c r="Q109" s="23" t="str">
        <f>_xlfn.IFNA(IF(SUM(D109:O109)=0,VLOOKUP(C109,DASHBOARD!$L$9:$M$11,2,0)*12,VLOOKUP(C109,DASHBOARD!$L$9:$M$11,2,0)*12-P109),"")</f>
        <v/>
      </c>
      <c r="U109" s="20"/>
      <c r="V109" s="20"/>
      <c r="W109" s="20"/>
      <c r="X109" s="27"/>
      <c r="Y109" s="27"/>
      <c r="Z109" s="27"/>
      <c r="AA109" s="27"/>
      <c r="AB109" s="27"/>
      <c r="AC109" s="27"/>
      <c r="AD109" s="27"/>
      <c r="AE109" s="27"/>
      <c r="AF109" s="27"/>
      <c r="AG109" s="27"/>
      <c r="AH109" s="27"/>
      <c r="AI109" s="27"/>
      <c r="AJ109" s="27"/>
      <c r="AK109" s="23"/>
    </row>
    <row r="110" spans="1:37">
      <c r="A110" s="20"/>
      <c r="B110" s="20"/>
      <c r="C110" s="20"/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 t="str">
        <f t="shared" si="1"/>
        <v/>
      </c>
      <c r="Q110" s="23" t="str">
        <f>_xlfn.IFNA(IF(SUM(D110:O110)=0,VLOOKUP(C110,DASHBOARD!$L$9:$M$11,2,0)*12,VLOOKUP(C110,DASHBOARD!$L$9:$M$11,2,0)*12-P110),"")</f>
        <v/>
      </c>
      <c r="U110" s="20"/>
      <c r="V110" s="20"/>
      <c r="W110" s="20"/>
      <c r="X110" s="27"/>
      <c r="Y110" s="27"/>
      <c r="Z110" s="27"/>
      <c r="AA110" s="27"/>
      <c r="AB110" s="27"/>
      <c r="AC110" s="27"/>
      <c r="AD110" s="27"/>
      <c r="AE110" s="27"/>
      <c r="AF110" s="27"/>
      <c r="AG110" s="27"/>
      <c r="AH110" s="27"/>
      <c r="AI110" s="27"/>
      <c r="AJ110" s="27"/>
      <c r="AK110" s="23"/>
    </row>
    <row r="111" spans="1:37">
      <c r="A111" s="20"/>
      <c r="B111" s="20"/>
      <c r="C111" s="20"/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 t="str">
        <f t="shared" si="1"/>
        <v/>
      </c>
      <c r="Q111" s="23" t="str">
        <f>_xlfn.IFNA(IF(SUM(D111:O111)=0,VLOOKUP(C111,DASHBOARD!$L$9:$M$11,2,0)*12,VLOOKUP(C111,DASHBOARD!$L$9:$M$11,2,0)*12-P111),"")</f>
        <v/>
      </c>
      <c r="U111" s="20"/>
      <c r="V111" s="20"/>
      <c r="W111" s="20"/>
      <c r="X111" s="27"/>
      <c r="Y111" s="27"/>
      <c r="Z111" s="27"/>
      <c r="AA111" s="27"/>
      <c r="AB111" s="27"/>
      <c r="AC111" s="27"/>
      <c r="AD111" s="27"/>
      <c r="AE111" s="27"/>
      <c r="AF111" s="27"/>
      <c r="AG111" s="27"/>
      <c r="AH111" s="27"/>
      <c r="AI111" s="27"/>
      <c r="AJ111" s="27"/>
      <c r="AK111" s="23"/>
    </row>
    <row r="112" spans="1:37">
      <c r="A112" s="20"/>
      <c r="B112" s="20"/>
      <c r="C112" s="20"/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 t="str">
        <f t="shared" si="1"/>
        <v/>
      </c>
      <c r="Q112" s="23" t="str">
        <f>_xlfn.IFNA(IF(SUM(D112:O112)=0,VLOOKUP(C112,DASHBOARD!$L$9:$M$11,2,0)*12,VLOOKUP(C112,DASHBOARD!$L$9:$M$11,2,0)*12-P112),"")</f>
        <v/>
      </c>
      <c r="U112" s="20"/>
      <c r="V112" s="20"/>
      <c r="W112" s="20"/>
      <c r="X112" s="27"/>
      <c r="Y112" s="27"/>
      <c r="Z112" s="27"/>
      <c r="AA112" s="27"/>
      <c r="AB112" s="27"/>
      <c r="AC112" s="27"/>
      <c r="AD112" s="27"/>
      <c r="AE112" s="27"/>
      <c r="AF112" s="27"/>
      <c r="AG112" s="27"/>
      <c r="AH112" s="27"/>
      <c r="AI112" s="27"/>
      <c r="AJ112" s="27"/>
      <c r="AK112" s="23"/>
    </row>
    <row r="113" spans="1:37">
      <c r="A113" s="20"/>
      <c r="B113" s="20"/>
      <c r="C113" s="20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 t="str">
        <f t="shared" si="1"/>
        <v/>
      </c>
      <c r="Q113" s="23" t="str">
        <f>_xlfn.IFNA(IF(SUM(D113:O113)=0,VLOOKUP(C113,DASHBOARD!$L$9:$M$11,2,0)*12,VLOOKUP(C113,DASHBOARD!$L$9:$M$11,2,0)*12-P113),"")</f>
        <v/>
      </c>
      <c r="U113" s="20"/>
      <c r="V113" s="20"/>
      <c r="W113" s="20"/>
      <c r="X113" s="27"/>
      <c r="Y113" s="27"/>
      <c r="Z113" s="27"/>
      <c r="AA113" s="27"/>
      <c r="AB113" s="27"/>
      <c r="AC113" s="27"/>
      <c r="AD113" s="27"/>
      <c r="AE113" s="27"/>
      <c r="AF113" s="27"/>
      <c r="AG113" s="27"/>
      <c r="AH113" s="27"/>
      <c r="AI113" s="27"/>
      <c r="AJ113" s="27"/>
      <c r="AK113" s="23"/>
    </row>
    <row r="114" spans="1:37">
      <c r="A114" s="20"/>
      <c r="B114" s="20"/>
      <c r="C114" s="20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 t="str">
        <f t="shared" si="1"/>
        <v/>
      </c>
      <c r="Q114" s="23" t="str">
        <f>_xlfn.IFNA(IF(SUM(D114:O114)=0,VLOOKUP(C114,DASHBOARD!$L$9:$M$11,2,0)*12,VLOOKUP(C114,DASHBOARD!$L$9:$M$11,2,0)*12-P114),"")</f>
        <v/>
      </c>
      <c r="U114" s="20"/>
      <c r="V114" s="20"/>
      <c r="W114" s="20"/>
      <c r="X114" s="27"/>
      <c r="Y114" s="27"/>
      <c r="Z114" s="27"/>
      <c r="AA114" s="27"/>
      <c r="AB114" s="27"/>
      <c r="AC114" s="27"/>
      <c r="AD114" s="27"/>
      <c r="AE114" s="27"/>
      <c r="AF114" s="27"/>
      <c r="AG114" s="27"/>
      <c r="AH114" s="27"/>
      <c r="AI114" s="27"/>
      <c r="AJ114" s="27"/>
      <c r="AK114" s="23"/>
    </row>
    <row r="115" spans="1:37">
      <c r="A115" s="20"/>
      <c r="B115" s="20"/>
      <c r="C115" s="20"/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 t="str">
        <f t="shared" si="1"/>
        <v/>
      </c>
      <c r="Q115" s="23" t="str">
        <f>_xlfn.IFNA(IF(SUM(D115:O115)=0,VLOOKUP(C115,DASHBOARD!$L$9:$M$11,2,0)*12,VLOOKUP(C115,DASHBOARD!$L$9:$M$11,2,0)*12-P115),"")</f>
        <v/>
      </c>
      <c r="U115" s="20"/>
      <c r="V115" s="20"/>
      <c r="W115" s="20"/>
      <c r="X115" s="27"/>
      <c r="Y115" s="27"/>
      <c r="Z115" s="27"/>
      <c r="AA115" s="27"/>
      <c r="AB115" s="27"/>
      <c r="AC115" s="27"/>
      <c r="AD115" s="27"/>
      <c r="AE115" s="27"/>
      <c r="AF115" s="27"/>
      <c r="AG115" s="27"/>
      <c r="AH115" s="27"/>
      <c r="AI115" s="27"/>
      <c r="AJ115" s="27"/>
      <c r="AK115" s="23"/>
    </row>
    <row r="116" spans="1:37">
      <c r="A116" s="20"/>
      <c r="B116" s="20"/>
      <c r="C116" s="20"/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 t="str">
        <f t="shared" si="1"/>
        <v/>
      </c>
      <c r="Q116" s="23" t="str">
        <f>_xlfn.IFNA(IF(SUM(D116:O116)=0,VLOOKUP(C116,DASHBOARD!$L$9:$M$11,2,0)*12,VLOOKUP(C116,DASHBOARD!$L$9:$M$11,2,0)*12-P116),"")</f>
        <v/>
      </c>
      <c r="U116" s="20"/>
      <c r="V116" s="20"/>
      <c r="W116" s="20"/>
      <c r="X116" s="27"/>
      <c r="Y116" s="27"/>
      <c r="Z116" s="27"/>
      <c r="AA116" s="27"/>
      <c r="AB116" s="27"/>
      <c r="AC116" s="27"/>
      <c r="AD116" s="27"/>
      <c r="AE116" s="27"/>
      <c r="AF116" s="27"/>
      <c r="AG116" s="27"/>
      <c r="AH116" s="27"/>
      <c r="AI116" s="27"/>
      <c r="AJ116" s="27"/>
      <c r="AK116" s="23"/>
    </row>
    <row r="117" spans="1:37">
      <c r="A117" s="20"/>
      <c r="B117" s="20"/>
      <c r="C117" s="20"/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 t="str">
        <f t="shared" si="1"/>
        <v/>
      </c>
      <c r="Q117" s="23" t="str">
        <f>_xlfn.IFNA(IF(SUM(D117:O117)=0,VLOOKUP(C117,DASHBOARD!$L$9:$M$11,2,0)*12,VLOOKUP(C117,DASHBOARD!$L$9:$M$11,2,0)*12-P117),"")</f>
        <v/>
      </c>
      <c r="U117" s="20"/>
      <c r="V117" s="20"/>
      <c r="W117" s="20"/>
      <c r="X117" s="27"/>
      <c r="Y117" s="27"/>
      <c r="Z117" s="27"/>
      <c r="AA117" s="27"/>
      <c r="AB117" s="27"/>
      <c r="AC117" s="27"/>
      <c r="AD117" s="27"/>
      <c r="AE117" s="27"/>
      <c r="AF117" s="27"/>
      <c r="AG117" s="27"/>
      <c r="AH117" s="27"/>
      <c r="AI117" s="27"/>
      <c r="AJ117" s="27"/>
      <c r="AK117" s="23"/>
    </row>
    <row r="118" spans="1:37">
      <c r="A118" s="20"/>
      <c r="B118" s="20"/>
      <c r="C118" s="20"/>
      <c r="D118" s="27"/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 t="str">
        <f t="shared" si="1"/>
        <v/>
      </c>
      <c r="Q118" s="23" t="str">
        <f>_xlfn.IFNA(IF(SUM(D118:O118)=0,VLOOKUP(C118,DASHBOARD!$L$9:$M$11,2,0)*12,VLOOKUP(C118,DASHBOARD!$L$9:$M$11,2,0)*12-P118),"")</f>
        <v/>
      </c>
      <c r="U118" s="20"/>
      <c r="V118" s="20"/>
      <c r="W118" s="20"/>
      <c r="X118" s="27"/>
      <c r="Y118" s="27"/>
      <c r="Z118" s="27"/>
      <c r="AA118" s="27"/>
      <c r="AB118" s="27"/>
      <c r="AC118" s="27"/>
      <c r="AD118" s="27"/>
      <c r="AE118" s="27"/>
      <c r="AF118" s="27"/>
      <c r="AG118" s="27"/>
      <c r="AH118" s="27"/>
      <c r="AI118" s="27"/>
      <c r="AJ118" s="27"/>
      <c r="AK118" s="23"/>
    </row>
    <row r="119" spans="1:37">
      <c r="A119" s="20"/>
      <c r="B119" s="20"/>
      <c r="C119" s="20"/>
      <c r="D119" s="27"/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P119" s="27" t="str">
        <f t="shared" si="1"/>
        <v/>
      </c>
      <c r="Q119" s="23" t="str">
        <f>_xlfn.IFNA(IF(SUM(D119:O119)=0,VLOOKUP(C119,DASHBOARD!$L$9:$M$11,2,0)*12,VLOOKUP(C119,DASHBOARD!$L$9:$M$11,2,0)*12-P119),"")</f>
        <v/>
      </c>
      <c r="U119" s="20"/>
      <c r="V119" s="20"/>
      <c r="W119" s="20"/>
      <c r="X119" s="27"/>
      <c r="Y119" s="27"/>
      <c r="Z119" s="27"/>
      <c r="AA119" s="27"/>
      <c r="AB119" s="27"/>
      <c r="AC119" s="27"/>
      <c r="AD119" s="27"/>
      <c r="AE119" s="27"/>
      <c r="AF119" s="27"/>
      <c r="AG119" s="27"/>
      <c r="AH119" s="27"/>
      <c r="AI119" s="27"/>
      <c r="AJ119" s="27"/>
      <c r="AK119" s="23"/>
    </row>
    <row r="120" spans="1:37">
      <c r="A120" s="20"/>
      <c r="B120" s="20"/>
      <c r="C120" s="20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 t="str">
        <f t="shared" si="1"/>
        <v/>
      </c>
      <c r="Q120" s="23" t="str">
        <f>_xlfn.IFNA(IF(SUM(D120:O120)=0,VLOOKUP(C120,DASHBOARD!$L$9:$M$11,2,0)*12,VLOOKUP(C120,DASHBOARD!$L$9:$M$11,2,0)*12-P120),"")</f>
        <v/>
      </c>
      <c r="U120" s="20"/>
      <c r="V120" s="20"/>
      <c r="W120" s="20"/>
      <c r="X120" s="27"/>
      <c r="Y120" s="27"/>
      <c r="Z120" s="27"/>
      <c r="AA120" s="27"/>
      <c r="AB120" s="27"/>
      <c r="AC120" s="27"/>
      <c r="AD120" s="27"/>
      <c r="AE120" s="27"/>
      <c r="AF120" s="27"/>
      <c r="AG120" s="27"/>
      <c r="AH120" s="27"/>
      <c r="AI120" s="27"/>
      <c r="AJ120" s="27"/>
      <c r="AK120" s="23"/>
    </row>
    <row r="121" spans="1:37">
      <c r="A121" s="20"/>
      <c r="B121" s="20"/>
      <c r="C121" s="20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27" t="str">
        <f t="shared" si="1"/>
        <v/>
      </c>
      <c r="Q121" s="23" t="str">
        <f>_xlfn.IFNA(IF(SUM(D121:O121)=0,VLOOKUP(C121,DASHBOARD!$L$9:$M$11,2,0)*12,VLOOKUP(C121,DASHBOARD!$L$9:$M$11,2,0)*12-P121),"")</f>
        <v/>
      </c>
      <c r="U121" s="20"/>
      <c r="V121" s="20"/>
      <c r="W121" s="20"/>
      <c r="X121" s="27"/>
      <c r="Y121" s="27"/>
      <c r="Z121" s="27"/>
      <c r="AA121" s="27"/>
      <c r="AB121" s="27"/>
      <c r="AC121" s="27"/>
      <c r="AD121" s="27"/>
      <c r="AE121" s="27"/>
      <c r="AF121" s="27"/>
      <c r="AG121" s="27"/>
      <c r="AH121" s="27"/>
      <c r="AI121" s="27"/>
      <c r="AJ121" s="27"/>
      <c r="AK121" s="23"/>
    </row>
    <row r="122" spans="1:37">
      <c r="A122" s="20"/>
      <c r="B122" s="20"/>
      <c r="C122" s="20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 t="str">
        <f t="shared" si="1"/>
        <v/>
      </c>
      <c r="Q122" s="23" t="str">
        <f>_xlfn.IFNA(IF(SUM(D122:O122)=0,VLOOKUP(C122,DASHBOARD!$L$9:$M$11,2,0)*12,VLOOKUP(C122,DASHBOARD!$L$9:$M$11,2,0)*12-P122),"")</f>
        <v/>
      </c>
      <c r="U122" s="20"/>
      <c r="V122" s="20"/>
      <c r="W122" s="20"/>
      <c r="X122" s="27"/>
      <c r="Y122" s="27"/>
      <c r="Z122" s="27"/>
      <c r="AA122" s="27"/>
      <c r="AB122" s="27"/>
      <c r="AC122" s="27"/>
      <c r="AD122" s="27"/>
      <c r="AE122" s="27"/>
      <c r="AF122" s="27"/>
      <c r="AG122" s="27"/>
      <c r="AH122" s="27"/>
      <c r="AI122" s="27"/>
      <c r="AJ122" s="27"/>
      <c r="AK122" s="23"/>
    </row>
    <row r="123" spans="1:37">
      <c r="A123" s="20"/>
      <c r="B123" s="20"/>
      <c r="C123" s="20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27" t="str">
        <f t="shared" si="1"/>
        <v/>
      </c>
      <c r="Q123" s="23" t="str">
        <f>_xlfn.IFNA(IF(SUM(D123:O123)=0,VLOOKUP(C123,DASHBOARD!$L$9:$M$11,2,0)*12,VLOOKUP(C123,DASHBOARD!$L$9:$M$11,2,0)*12-P123),"")</f>
        <v/>
      </c>
      <c r="U123" s="20"/>
      <c r="V123" s="20"/>
      <c r="W123" s="20"/>
      <c r="X123" s="27"/>
      <c r="Y123" s="27"/>
      <c r="Z123" s="27"/>
      <c r="AA123" s="27"/>
      <c r="AB123" s="27"/>
      <c r="AC123" s="27"/>
      <c r="AD123" s="27"/>
      <c r="AE123" s="27"/>
      <c r="AF123" s="27"/>
      <c r="AG123" s="27"/>
      <c r="AH123" s="27"/>
      <c r="AI123" s="27"/>
      <c r="AJ123" s="27"/>
      <c r="AK123" s="23"/>
    </row>
    <row r="124" spans="1:37">
      <c r="A124" s="20"/>
      <c r="B124" s="20"/>
      <c r="C124" s="20"/>
      <c r="D124" s="27"/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 t="str">
        <f t="shared" si="1"/>
        <v/>
      </c>
      <c r="Q124" s="23" t="str">
        <f>_xlfn.IFNA(IF(SUM(D124:O124)=0,VLOOKUP(C124,DASHBOARD!$L$9:$M$11,2,0)*12,VLOOKUP(C124,DASHBOARD!$L$9:$M$11,2,0)*12-P124),"")</f>
        <v/>
      </c>
      <c r="U124" s="20"/>
      <c r="V124" s="20"/>
      <c r="W124" s="20"/>
      <c r="X124" s="27"/>
      <c r="Y124" s="27"/>
      <c r="Z124" s="27"/>
      <c r="AA124" s="27"/>
      <c r="AB124" s="27"/>
      <c r="AC124" s="27"/>
      <c r="AD124" s="27"/>
      <c r="AE124" s="27"/>
      <c r="AF124" s="27"/>
      <c r="AG124" s="27"/>
      <c r="AH124" s="27"/>
      <c r="AI124" s="27"/>
      <c r="AJ124" s="27"/>
      <c r="AK124" s="23"/>
    </row>
    <row r="125" spans="1:37">
      <c r="A125" s="20"/>
      <c r="B125" s="20"/>
      <c r="C125" s="20"/>
      <c r="D125" s="27"/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O125" s="27"/>
      <c r="P125" s="27" t="str">
        <f t="shared" si="1"/>
        <v/>
      </c>
      <c r="Q125" s="23" t="str">
        <f>_xlfn.IFNA(IF(SUM(D125:O125)=0,VLOOKUP(C125,DASHBOARD!$L$9:$M$11,2,0)*12,VLOOKUP(C125,DASHBOARD!$L$9:$M$11,2,0)*12-P125),"")</f>
        <v/>
      </c>
      <c r="U125" s="20"/>
      <c r="V125" s="20"/>
      <c r="W125" s="20"/>
      <c r="X125" s="27"/>
      <c r="Y125" s="27"/>
      <c r="Z125" s="27"/>
      <c r="AA125" s="27"/>
      <c r="AB125" s="27"/>
      <c r="AC125" s="27"/>
      <c r="AD125" s="27"/>
      <c r="AE125" s="27"/>
      <c r="AF125" s="27"/>
      <c r="AG125" s="27"/>
      <c r="AH125" s="27"/>
      <c r="AI125" s="27"/>
      <c r="AJ125" s="27"/>
      <c r="AK125" s="23"/>
    </row>
    <row r="126" spans="1:37">
      <c r="A126" s="20"/>
      <c r="B126" s="20"/>
      <c r="C126" s="20"/>
      <c r="D126" s="27"/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 t="str">
        <f t="shared" si="1"/>
        <v/>
      </c>
      <c r="Q126" s="23" t="str">
        <f>_xlfn.IFNA(IF(SUM(D126:O126)=0,VLOOKUP(C126,DASHBOARD!$L$9:$M$11,2,0)*12,VLOOKUP(C126,DASHBOARD!$L$9:$M$11,2,0)*12-P126),"")</f>
        <v/>
      </c>
      <c r="U126" s="20"/>
      <c r="V126" s="20"/>
      <c r="W126" s="20"/>
      <c r="X126" s="27"/>
      <c r="Y126" s="27"/>
      <c r="Z126" s="27"/>
      <c r="AA126" s="27"/>
      <c r="AB126" s="27"/>
      <c r="AC126" s="27"/>
      <c r="AD126" s="27"/>
      <c r="AE126" s="27"/>
      <c r="AF126" s="27"/>
      <c r="AG126" s="27"/>
      <c r="AH126" s="27"/>
      <c r="AI126" s="27"/>
      <c r="AJ126" s="27"/>
      <c r="AK126" s="23"/>
    </row>
    <row r="127" spans="1:37">
      <c r="A127" s="20"/>
      <c r="B127" s="20"/>
      <c r="C127" s="20"/>
      <c r="D127" s="27"/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P127" s="27" t="str">
        <f t="shared" si="1"/>
        <v/>
      </c>
      <c r="Q127" s="23" t="str">
        <f>_xlfn.IFNA(IF(SUM(D127:O127)=0,VLOOKUP(C127,DASHBOARD!$L$9:$M$11,2,0)*12,VLOOKUP(C127,DASHBOARD!$L$9:$M$11,2,0)*12-P127),"")</f>
        <v/>
      </c>
      <c r="U127" s="20"/>
      <c r="V127" s="20"/>
      <c r="W127" s="20"/>
      <c r="X127" s="27"/>
      <c r="Y127" s="27"/>
      <c r="Z127" s="27"/>
      <c r="AA127" s="27"/>
      <c r="AB127" s="27"/>
      <c r="AC127" s="27"/>
      <c r="AD127" s="27"/>
      <c r="AE127" s="27"/>
      <c r="AF127" s="27"/>
      <c r="AG127" s="27"/>
      <c r="AH127" s="27"/>
      <c r="AI127" s="27"/>
      <c r="AJ127" s="27"/>
      <c r="AK127" s="23"/>
    </row>
    <row r="128" spans="1:37">
      <c r="A128" s="20"/>
      <c r="B128" s="20"/>
      <c r="C128" s="20"/>
      <c r="D128" s="27"/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 t="str">
        <f t="shared" si="1"/>
        <v/>
      </c>
      <c r="Q128" s="23" t="str">
        <f>_xlfn.IFNA(IF(SUM(D128:O128)=0,VLOOKUP(C128,DASHBOARD!$L$9:$M$11,2,0)*12,VLOOKUP(C128,DASHBOARD!$L$9:$M$11,2,0)*12-P128),"")</f>
        <v/>
      </c>
      <c r="U128" s="20"/>
      <c r="V128" s="20"/>
      <c r="W128" s="20"/>
      <c r="X128" s="27"/>
      <c r="Y128" s="27"/>
      <c r="Z128" s="27"/>
      <c r="AA128" s="27"/>
      <c r="AB128" s="27"/>
      <c r="AC128" s="27"/>
      <c r="AD128" s="27"/>
      <c r="AE128" s="27"/>
      <c r="AF128" s="27"/>
      <c r="AG128" s="27"/>
      <c r="AH128" s="27"/>
      <c r="AI128" s="27"/>
      <c r="AJ128" s="27"/>
      <c r="AK128" s="23"/>
    </row>
    <row r="129" spans="1:37">
      <c r="A129" s="20"/>
      <c r="B129" s="20"/>
      <c r="C129" s="20"/>
      <c r="D129" s="27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 t="str">
        <f t="shared" si="1"/>
        <v/>
      </c>
      <c r="Q129" s="23" t="str">
        <f>_xlfn.IFNA(IF(SUM(D129:O129)=0,VLOOKUP(C129,DASHBOARD!$L$9:$M$11,2,0)*12,VLOOKUP(C129,DASHBOARD!$L$9:$M$11,2,0)*12-P129),"")</f>
        <v/>
      </c>
      <c r="U129" s="20"/>
      <c r="V129" s="20"/>
      <c r="W129" s="20"/>
      <c r="X129" s="27"/>
      <c r="Y129" s="27"/>
      <c r="Z129" s="27"/>
      <c r="AA129" s="27"/>
      <c r="AB129" s="27"/>
      <c r="AC129" s="27"/>
      <c r="AD129" s="27"/>
      <c r="AE129" s="27"/>
      <c r="AF129" s="27"/>
      <c r="AG129" s="27"/>
      <c r="AH129" s="27"/>
      <c r="AI129" s="27"/>
      <c r="AJ129" s="27"/>
      <c r="AK129" s="23"/>
    </row>
    <row r="130" spans="1:37">
      <c r="A130" s="20"/>
      <c r="B130" s="20"/>
      <c r="C130" s="20"/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 t="str">
        <f t="shared" si="1"/>
        <v/>
      </c>
      <c r="Q130" s="23" t="str">
        <f>_xlfn.IFNA(IF(SUM(D130:O130)=0,VLOOKUP(C130,DASHBOARD!$L$9:$M$11,2,0)*12,VLOOKUP(C130,DASHBOARD!$L$9:$M$11,2,0)*12-P130),"")</f>
        <v/>
      </c>
      <c r="U130" s="20"/>
      <c r="V130" s="20"/>
      <c r="W130" s="20"/>
      <c r="X130" s="27"/>
      <c r="Y130" s="27"/>
      <c r="Z130" s="27"/>
      <c r="AA130" s="27"/>
      <c r="AB130" s="27"/>
      <c r="AC130" s="27"/>
      <c r="AD130" s="27"/>
      <c r="AE130" s="27"/>
      <c r="AF130" s="27"/>
      <c r="AG130" s="27"/>
      <c r="AH130" s="27"/>
      <c r="AI130" s="27"/>
      <c r="AJ130" s="27"/>
      <c r="AK130" s="23"/>
    </row>
    <row r="131" spans="1:37">
      <c r="A131" s="20"/>
      <c r="B131" s="20"/>
      <c r="C131" s="20"/>
      <c r="D131" s="27"/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P131" s="27" t="str">
        <f t="shared" si="1"/>
        <v/>
      </c>
      <c r="Q131" s="23" t="str">
        <f>_xlfn.IFNA(IF(SUM(D131:O131)=0,VLOOKUP(C131,DASHBOARD!$L$9:$M$11,2,0)*12,VLOOKUP(C131,DASHBOARD!$L$9:$M$11,2,0)*12-P131),"")</f>
        <v/>
      </c>
      <c r="U131" s="20"/>
      <c r="V131" s="20"/>
      <c r="W131" s="20"/>
      <c r="X131" s="27"/>
      <c r="Y131" s="27"/>
      <c r="Z131" s="27"/>
      <c r="AA131" s="27"/>
      <c r="AB131" s="27"/>
      <c r="AC131" s="27"/>
      <c r="AD131" s="27"/>
      <c r="AE131" s="27"/>
      <c r="AF131" s="27"/>
      <c r="AG131" s="27"/>
      <c r="AH131" s="27"/>
      <c r="AI131" s="27"/>
      <c r="AJ131" s="27"/>
      <c r="AK131" s="23"/>
    </row>
    <row r="132" spans="1:37">
      <c r="A132" s="20"/>
      <c r="B132" s="20"/>
      <c r="C132" s="20"/>
      <c r="D132" s="27"/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 t="str">
        <f t="shared" si="1"/>
        <v/>
      </c>
      <c r="Q132" s="23" t="str">
        <f>_xlfn.IFNA(IF(SUM(D132:O132)=0,VLOOKUP(C132,DASHBOARD!$L$9:$M$11,2,0)*12,VLOOKUP(C132,DASHBOARD!$L$9:$M$11,2,0)*12-P132),"")</f>
        <v/>
      </c>
      <c r="U132" s="20"/>
      <c r="V132" s="20"/>
      <c r="W132" s="20"/>
      <c r="X132" s="27"/>
      <c r="Y132" s="27"/>
      <c r="Z132" s="27"/>
      <c r="AA132" s="27"/>
      <c r="AB132" s="27"/>
      <c r="AC132" s="27"/>
      <c r="AD132" s="27"/>
      <c r="AE132" s="27"/>
      <c r="AF132" s="27"/>
      <c r="AG132" s="27"/>
      <c r="AH132" s="27"/>
      <c r="AI132" s="27"/>
      <c r="AJ132" s="27"/>
      <c r="AK132" s="23"/>
    </row>
    <row r="133" spans="1:37">
      <c r="A133" s="20"/>
      <c r="B133" s="20"/>
      <c r="C133" s="20"/>
      <c r="D133" s="27"/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P133" s="27" t="str">
        <f t="shared" ref="P133:P196" si="2">IF(SUM(D133:O133)=0,"",SUM(D133:O133))</f>
        <v/>
      </c>
      <c r="Q133" s="23" t="str">
        <f>_xlfn.IFNA(IF(SUM(D133:O133)=0,VLOOKUP(C133,DASHBOARD!$L$9:$M$11,2,0)*12,VLOOKUP(C133,DASHBOARD!$L$9:$M$11,2,0)*12-P133),"")</f>
        <v/>
      </c>
      <c r="U133" s="20"/>
      <c r="V133" s="20"/>
      <c r="W133" s="20"/>
      <c r="X133" s="27"/>
      <c r="Y133" s="27"/>
      <c r="Z133" s="27"/>
      <c r="AA133" s="27"/>
      <c r="AB133" s="27"/>
      <c r="AC133" s="27"/>
      <c r="AD133" s="27"/>
      <c r="AE133" s="27"/>
      <c r="AF133" s="27"/>
      <c r="AG133" s="27"/>
      <c r="AH133" s="27"/>
      <c r="AI133" s="27"/>
      <c r="AJ133" s="27"/>
      <c r="AK133" s="23"/>
    </row>
    <row r="134" spans="1:37">
      <c r="A134" s="20"/>
      <c r="B134" s="20"/>
      <c r="C134" s="20"/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 t="str">
        <f t="shared" si="2"/>
        <v/>
      </c>
      <c r="Q134" s="23" t="str">
        <f>_xlfn.IFNA(IF(SUM(D134:O134)=0,VLOOKUP(C134,DASHBOARD!$L$9:$M$11,2,0)*12,VLOOKUP(C134,DASHBOARD!$L$9:$M$11,2,0)*12-P134),"")</f>
        <v/>
      </c>
      <c r="U134" s="20"/>
      <c r="V134" s="20"/>
      <c r="W134" s="20"/>
      <c r="X134" s="27"/>
      <c r="Y134" s="27"/>
      <c r="Z134" s="27"/>
      <c r="AA134" s="27"/>
      <c r="AB134" s="27"/>
      <c r="AC134" s="27"/>
      <c r="AD134" s="27"/>
      <c r="AE134" s="27"/>
      <c r="AF134" s="27"/>
      <c r="AG134" s="27"/>
      <c r="AH134" s="27"/>
      <c r="AI134" s="27"/>
      <c r="AJ134" s="27"/>
      <c r="AK134" s="23"/>
    </row>
    <row r="135" spans="1:37">
      <c r="A135" s="20"/>
      <c r="B135" s="20"/>
      <c r="C135" s="20"/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27" t="str">
        <f t="shared" si="2"/>
        <v/>
      </c>
      <c r="Q135" s="23" t="str">
        <f>_xlfn.IFNA(IF(SUM(D135:O135)=0,VLOOKUP(C135,DASHBOARD!$L$9:$M$11,2,0)*12,VLOOKUP(C135,DASHBOARD!$L$9:$M$11,2,0)*12-P135),"")</f>
        <v/>
      </c>
      <c r="U135" s="20"/>
      <c r="V135" s="20"/>
      <c r="W135" s="20"/>
      <c r="X135" s="27"/>
      <c r="Y135" s="27"/>
      <c r="Z135" s="27"/>
      <c r="AA135" s="27"/>
      <c r="AB135" s="27"/>
      <c r="AC135" s="27"/>
      <c r="AD135" s="27"/>
      <c r="AE135" s="27"/>
      <c r="AF135" s="27"/>
      <c r="AG135" s="27"/>
      <c r="AH135" s="27"/>
      <c r="AI135" s="27"/>
      <c r="AJ135" s="27"/>
      <c r="AK135" s="23"/>
    </row>
    <row r="136" spans="1:37">
      <c r="A136" s="20"/>
      <c r="B136" s="20"/>
      <c r="C136" s="20"/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 t="str">
        <f t="shared" si="2"/>
        <v/>
      </c>
      <c r="Q136" s="23" t="str">
        <f>_xlfn.IFNA(IF(SUM(D136:O136)=0,VLOOKUP(C136,DASHBOARD!$L$9:$M$11,2,0)*12,VLOOKUP(C136,DASHBOARD!$L$9:$M$11,2,0)*12-P136),"")</f>
        <v/>
      </c>
      <c r="U136" s="20"/>
      <c r="V136" s="20"/>
      <c r="W136" s="20"/>
      <c r="X136" s="27"/>
      <c r="Y136" s="27"/>
      <c r="Z136" s="27"/>
      <c r="AA136" s="27"/>
      <c r="AB136" s="27"/>
      <c r="AC136" s="27"/>
      <c r="AD136" s="27"/>
      <c r="AE136" s="27"/>
      <c r="AF136" s="27"/>
      <c r="AG136" s="27"/>
      <c r="AH136" s="27"/>
      <c r="AI136" s="27"/>
      <c r="AJ136" s="27"/>
      <c r="AK136" s="23"/>
    </row>
    <row r="137" spans="1:37">
      <c r="A137" s="20"/>
      <c r="B137" s="20"/>
      <c r="C137" s="20"/>
      <c r="D137" s="27"/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P137" s="27" t="str">
        <f t="shared" si="2"/>
        <v/>
      </c>
      <c r="Q137" s="23" t="str">
        <f>_xlfn.IFNA(IF(SUM(D137:O137)=0,VLOOKUP(C137,DASHBOARD!$L$9:$M$11,2,0)*12,VLOOKUP(C137,DASHBOARD!$L$9:$M$11,2,0)*12-P137),"")</f>
        <v/>
      </c>
      <c r="U137" s="20"/>
      <c r="V137" s="20"/>
      <c r="W137" s="20"/>
      <c r="X137" s="27"/>
      <c r="Y137" s="27"/>
      <c r="Z137" s="27"/>
      <c r="AA137" s="27"/>
      <c r="AB137" s="27"/>
      <c r="AC137" s="27"/>
      <c r="AD137" s="27"/>
      <c r="AE137" s="27"/>
      <c r="AF137" s="27"/>
      <c r="AG137" s="27"/>
      <c r="AH137" s="27"/>
      <c r="AI137" s="27"/>
      <c r="AJ137" s="27"/>
      <c r="AK137" s="23"/>
    </row>
    <row r="138" spans="1:37">
      <c r="A138" s="20"/>
      <c r="B138" s="20"/>
      <c r="C138" s="20"/>
      <c r="D138" s="27"/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 t="str">
        <f t="shared" si="2"/>
        <v/>
      </c>
      <c r="Q138" s="23" t="str">
        <f>_xlfn.IFNA(IF(SUM(D138:O138)=0,VLOOKUP(C138,DASHBOARD!$L$9:$M$11,2,0)*12,VLOOKUP(C138,DASHBOARD!$L$9:$M$11,2,0)*12-P138),"")</f>
        <v/>
      </c>
      <c r="U138" s="20"/>
      <c r="V138" s="20"/>
      <c r="W138" s="20"/>
      <c r="X138" s="27"/>
      <c r="Y138" s="27"/>
      <c r="Z138" s="27"/>
      <c r="AA138" s="27"/>
      <c r="AB138" s="27"/>
      <c r="AC138" s="27"/>
      <c r="AD138" s="27"/>
      <c r="AE138" s="27"/>
      <c r="AF138" s="27"/>
      <c r="AG138" s="27"/>
      <c r="AH138" s="27"/>
      <c r="AI138" s="27"/>
      <c r="AJ138" s="27"/>
      <c r="AK138" s="23"/>
    </row>
    <row r="139" spans="1:37">
      <c r="A139" s="20"/>
      <c r="B139" s="20"/>
      <c r="C139" s="20"/>
      <c r="D139" s="27"/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27" t="str">
        <f t="shared" si="2"/>
        <v/>
      </c>
      <c r="Q139" s="23" t="str">
        <f>_xlfn.IFNA(IF(SUM(D139:O139)=0,VLOOKUP(C139,DASHBOARD!$L$9:$M$11,2,0)*12,VLOOKUP(C139,DASHBOARD!$L$9:$M$11,2,0)*12-P139),"")</f>
        <v/>
      </c>
      <c r="U139" s="20"/>
      <c r="V139" s="20"/>
      <c r="W139" s="20"/>
      <c r="X139" s="27"/>
      <c r="Y139" s="27"/>
      <c r="Z139" s="27"/>
      <c r="AA139" s="27"/>
      <c r="AB139" s="27"/>
      <c r="AC139" s="27"/>
      <c r="AD139" s="27"/>
      <c r="AE139" s="27"/>
      <c r="AF139" s="27"/>
      <c r="AG139" s="27"/>
      <c r="AH139" s="27"/>
      <c r="AI139" s="27"/>
      <c r="AJ139" s="27"/>
      <c r="AK139" s="23"/>
    </row>
    <row r="140" spans="1:37">
      <c r="A140" s="20"/>
      <c r="B140" s="20"/>
      <c r="C140" s="20"/>
      <c r="D140" s="27"/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 t="str">
        <f t="shared" si="2"/>
        <v/>
      </c>
      <c r="Q140" s="23" t="str">
        <f>_xlfn.IFNA(IF(SUM(D140:O140)=0,VLOOKUP(C140,DASHBOARD!$L$9:$M$11,2,0)*12,VLOOKUP(C140,DASHBOARD!$L$9:$M$11,2,0)*12-P140),"")</f>
        <v/>
      </c>
      <c r="U140" s="20"/>
      <c r="V140" s="20"/>
      <c r="W140" s="20"/>
      <c r="X140" s="27"/>
      <c r="Y140" s="27"/>
      <c r="Z140" s="27"/>
      <c r="AA140" s="27"/>
      <c r="AB140" s="27"/>
      <c r="AC140" s="27"/>
      <c r="AD140" s="27"/>
      <c r="AE140" s="27"/>
      <c r="AF140" s="27"/>
      <c r="AG140" s="27"/>
      <c r="AH140" s="27"/>
      <c r="AI140" s="27"/>
      <c r="AJ140" s="27"/>
      <c r="AK140" s="23"/>
    </row>
    <row r="141" spans="1:37">
      <c r="A141" s="20"/>
      <c r="B141" s="20"/>
      <c r="C141" s="20"/>
      <c r="D141" s="27"/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P141" s="27" t="str">
        <f t="shared" si="2"/>
        <v/>
      </c>
      <c r="Q141" s="23" t="str">
        <f>_xlfn.IFNA(IF(SUM(D141:O141)=0,VLOOKUP(C141,DASHBOARD!$L$9:$M$11,2,0)*12,VLOOKUP(C141,DASHBOARD!$L$9:$M$11,2,0)*12-P141),"")</f>
        <v/>
      </c>
      <c r="U141" s="20"/>
      <c r="V141" s="20"/>
      <c r="W141" s="20"/>
      <c r="X141" s="27"/>
      <c r="Y141" s="27"/>
      <c r="Z141" s="27"/>
      <c r="AA141" s="27"/>
      <c r="AB141" s="27"/>
      <c r="AC141" s="27"/>
      <c r="AD141" s="27"/>
      <c r="AE141" s="27"/>
      <c r="AF141" s="27"/>
      <c r="AG141" s="27"/>
      <c r="AH141" s="27"/>
      <c r="AI141" s="27"/>
      <c r="AJ141" s="27"/>
      <c r="AK141" s="23"/>
    </row>
    <row r="142" spans="1:37">
      <c r="A142" s="20"/>
      <c r="B142" s="20"/>
      <c r="C142" s="20"/>
      <c r="D142" s="27"/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 t="str">
        <f t="shared" si="2"/>
        <v/>
      </c>
      <c r="Q142" s="23" t="str">
        <f>_xlfn.IFNA(IF(SUM(D142:O142)=0,VLOOKUP(C142,DASHBOARD!$L$9:$M$11,2,0)*12,VLOOKUP(C142,DASHBOARD!$L$9:$M$11,2,0)*12-P142),"")</f>
        <v/>
      </c>
      <c r="U142" s="20"/>
      <c r="V142" s="20"/>
      <c r="W142" s="20"/>
      <c r="X142" s="27"/>
      <c r="Y142" s="27"/>
      <c r="Z142" s="27"/>
      <c r="AA142" s="27"/>
      <c r="AB142" s="27"/>
      <c r="AC142" s="27"/>
      <c r="AD142" s="27"/>
      <c r="AE142" s="27"/>
      <c r="AF142" s="27"/>
      <c r="AG142" s="27"/>
      <c r="AH142" s="27"/>
      <c r="AI142" s="27"/>
      <c r="AJ142" s="27"/>
      <c r="AK142" s="23"/>
    </row>
    <row r="143" spans="1:37">
      <c r="A143" s="20"/>
      <c r="B143" s="20"/>
      <c r="C143" s="20"/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27" t="str">
        <f t="shared" si="2"/>
        <v/>
      </c>
      <c r="Q143" s="23" t="str">
        <f>_xlfn.IFNA(IF(SUM(D143:O143)=0,VLOOKUP(C143,DASHBOARD!$L$9:$M$11,2,0)*12,VLOOKUP(C143,DASHBOARD!$L$9:$M$11,2,0)*12-P143),"")</f>
        <v/>
      </c>
      <c r="U143" s="20"/>
      <c r="V143" s="20"/>
      <c r="W143" s="20"/>
      <c r="X143" s="27"/>
      <c r="Y143" s="27"/>
      <c r="Z143" s="27"/>
      <c r="AA143" s="27"/>
      <c r="AB143" s="27"/>
      <c r="AC143" s="27"/>
      <c r="AD143" s="27"/>
      <c r="AE143" s="27"/>
      <c r="AF143" s="27"/>
      <c r="AG143" s="27"/>
      <c r="AH143" s="27"/>
      <c r="AI143" s="27"/>
      <c r="AJ143" s="27"/>
      <c r="AK143" s="23"/>
    </row>
    <row r="144" spans="1:37">
      <c r="A144" s="20"/>
      <c r="B144" s="20"/>
      <c r="C144" s="20"/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 t="str">
        <f t="shared" si="2"/>
        <v/>
      </c>
      <c r="Q144" s="23" t="str">
        <f>_xlfn.IFNA(IF(SUM(D144:O144)=0,VLOOKUP(C144,DASHBOARD!$L$9:$M$11,2,0)*12,VLOOKUP(C144,DASHBOARD!$L$9:$M$11,2,0)*12-P144),"")</f>
        <v/>
      </c>
      <c r="U144" s="20"/>
      <c r="V144" s="20"/>
      <c r="W144" s="20"/>
      <c r="X144" s="27"/>
      <c r="Y144" s="27"/>
      <c r="Z144" s="27"/>
      <c r="AA144" s="27"/>
      <c r="AB144" s="27"/>
      <c r="AC144" s="27"/>
      <c r="AD144" s="27"/>
      <c r="AE144" s="27"/>
      <c r="AF144" s="27"/>
      <c r="AG144" s="27"/>
      <c r="AH144" s="27"/>
      <c r="AI144" s="27"/>
      <c r="AJ144" s="27"/>
      <c r="AK144" s="23"/>
    </row>
    <row r="145" spans="1:37">
      <c r="A145" s="20"/>
      <c r="B145" s="20"/>
      <c r="C145" s="20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 t="str">
        <f t="shared" si="2"/>
        <v/>
      </c>
      <c r="Q145" s="23" t="str">
        <f>_xlfn.IFNA(IF(SUM(D145:O145)=0,VLOOKUP(C145,DASHBOARD!$L$9:$M$11,2,0)*12,VLOOKUP(C145,DASHBOARD!$L$9:$M$11,2,0)*12-P145),"")</f>
        <v/>
      </c>
      <c r="U145" s="20"/>
      <c r="V145" s="20"/>
      <c r="W145" s="20"/>
      <c r="X145" s="27"/>
      <c r="Y145" s="27"/>
      <c r="Z145" s="27"/>
      <c r="AA145" s="27"/>
      <c r="AB145" s="27"/>
      <c r="AC145" s="27"/>
      <c r="AD145" s="27"/>
      <c r="AE145" s="27"/>
      <c r="AF145" s="27"/>
      <c r="AG145" s="27"/>
      <c r="AH145" s="27"/>
      <c r="AI145" s="27"/>
      <c r="AJ145" s="27"/>
      <c r="AK145" s="23"/>
    </row>
    <row r="146" spans="1:37">
      <c r="A146" s="20"/>
      <c r="B146" s="20"/>
      <c r="C146" s="20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 t="str">
        <f t="shared" si="2"/>
        <v/>
      </c>
      <c r="Q146" s="23" t="str">
        <f>_xlfn.IFNA(IF(SUM(D146:O146)=0,VLOOKUP(C146,DASHBOARD!$L$9:$M$11,2,0)*12,VLOOKUP(C146,DASHBOARD!$L$9:$M$11,2,0)*12-P146),"")</f>
        <v/>
      </c>
      <c r="U146" s="20"/>
      <c r="V146" s="20"/>
      <c r="W146" s="20"/>
      <c r="X146" s="27"/>
      <c r="Y146" s="27"/>
      <c r="Z146" s="27"/>
      <c r="AA146" s="27"/>
      <c r="AB146" s="27"/>
      <c r="AC146" s="27"/>
      <c r="AD146" s="27"/>
      <c r="AE146" s="27"/>
      <c r="AF146" s="27"/>
      <c r="AG146" s="27"/>
      <c r="AH146" s="27"/>
      <c r="AI146" s="27"/>
      <c r="AJ146" s="27"/>
      <c r="AK146" s="23"/>
    </row>
    <row r="147" spans="1:37">
      <c r="A147" s="20"/>
      <c r="B147" s="20"/>
      <c r="C147" s="20"/>
      <c r="D147" s="27"/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27" t="str">
        <f t="shared" si="2"/>
        <v/>
      </c>
      <c r="Q147" s="23" t="str">
        <f>_xlfn.IFNA(IF(SUM(D147:O147)=0,VLOOKUP(C147,DASHBOARD!$L$9:$M$11,2,0)*12,VLOOKUP(C147,DASHBOARD!$L$9:$M$11,2,0)*12-P147),"")</f>
        <v/>
      </c>
      <c r="U147" s="20"/>
      <c r="V147" s="20"/>
      <c r="W147" s="20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3"/>
    </row>
    <row r="148" spans="1:37">
      <c r="A148" s="20"/>
      <c r="B148" s="20"/>
      <c r="C148" s="20"/>
      <c r="D148" s="27"/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 t="str">
        <f t="shared" si="2"/>
        <v/>
      </c>
      <c r="Q148" s="23" t="str">
        <f>_xlfn.IFNA(IF(SUM(D148:O148)=0,VLOOKUP(C148,DASHBOARD!$L$9:$M$11,2,0)*12,VLOOKUP(C148,DASHBOARD!$L$9:$M$11,2,0)*12-P148),"")</f>
        <v/>
      </c>
      <c r="U148" s="20"/>
      <c r="V148" s="20"/>
      <c r="W148" s="20"/>
      <c r="X148" s="27"/>
      <c r="Y148" s="27"/>
      <c r="Z148" s="27"/>
      <c r="AA148" s="27"/>
      <c r="AB148" s="27"/>
      <c r="AC148" s="27"/>
      <c r="AD148" s="27"/>
      <c r="AE148" s="27"/>
      <c r="AF148" s="27"/>
      <c r="AG148" s="27"/>
      <c r="AH148" s="27"/>
      <c r="AI148" s="27"/>
      <c r="AJ148" s="27"/>
      <c r="AK148" s="23"/>
    </row>
    <row r="149" spans="1:37">
      <c r="A149" s="20"/>
      <c r="B149" s="20"/>
      <c r="C149" s="20"/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 t="str">
        <f t="shared" si="2"/>
        <v/>
      </c>
      <c r="Q149" s="23" t="str">
        <f>_xlfn.IFNA(IF(SUM(D149:O149)=0,VLOOKUP(C149,DASHBOARD!$L$9:$M$11,2,0)*12,VLOOKUP(C149,DASHBOARD!$L$9:$M$11,2,0)*12-P149),"")</f>
        <v/>
      </c>
      <c r="U149" s="20"/>
      <c r="V149" s="20"/>
      <c r="W149" s="20"/>
      <c r="X149" s="27"/>
      <c r="Y149" s="27"/>
      <c r="Z149" s="27"/>
      <c r="AA149" s="27"/>
      <c r="AB149" s="27"/>
      <c r="AC149" s="27"/>
      <c r="AD149" s="27"/>
      <c r="AE149" s="27"/>
      <c r="AF149" s="27"/>
      <c r="AG149" s="27"/>
      <c r="AH149" s="27"/>
      <c r="AI149" s="27"/>
      <c r="AJ149" s="27"/>
      <c r="AK149" s="23"/>
    </row>
    <row r="150" spans="1:37">
      <c r="A150" s="20"/>
      <c r="B150" s="20"/>
      <c r="C150" s="20"/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 t="str">
        <f t="shared" si="2"/>
        <v/>
      </c>
      <c r="Q150" s="23" t="str">
        <f>_xlfn.IFNA(IF(SUM(D150:O150)=0,VLOOKUP(C150,DASHBOARD!$L$9:$M$11,2,0)*12,VLOOKUP(C150,DASHBOARD!$L$9:$M$11,2,0)*12-P150),"")</f>
        <v/>
      </c>
      <c r="U150" s="20"/>
      <c r="V150" s="20"/>
      <c r="W150" s="20"/>
      <c r="X150" s="27"/>
      <c r="Y150" s="27"/>
      <c r="Z150" s="27"/>
      <c r="AA150" s="27"/>
      <c r="AB150" s="27"/>
      <c r="AC150" s="27"/>
      <c r="AD150" s="27"/>
      <c r="AE150" s="27"/>
      <c r="AF150" s="27"/>
      <c r="AG150" s="27"/>
      <c r="AH150" s="27"/>
      <c r="AI150" s="27"/>
      <c r="AJ150" s="27"/>
      <c r="AK150" s="23"/>
    </row>
    <row r="151" spans="1:37">
      <c r="A151" s="20"/>
      <c r="B151" s="20"/>
      <c r="C151" s="20"/>
      <c r="D151" s="27"/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P151" s="27" t="str">
        <f t="shared" si="2"/>
        <v/>
      </c>
      <c r="Q151" s="23" t="str">
        <f>_xlfn.IFNA(IF(SUM(D151:O151)=0,VLOOKUP(C151,DASHBOARD!$L$9:$M$11,2,0)*12,VLOOKUP(C151,DASHBOARD!$L$9:$M$11,2,0)*12-P151),"")</f>
        <v/>
      </c>
      <c r="U151" s="20"/>
      <c r="V151" s="20"/>
      <c r="W151" s="20"/>
      <c r="X151" s="27"/>
      <c r="Y151" s="27"/>
      <c r="Z151" s="27"/>
      <c r="AA151" s="27"/>
      <c r="AB151" s="27"/>
      <c r="AC151" s="27"/>
      <c r="AD151" s="27"/>
      <c r="AE151" s="27"/>
      <c r="AF151" s="27"/>
      <c r="AG151" s="27"/>
      <c r="AH151" s="27"/>
      <c r="AI151" s="27"/>
      <c r="AJ151" s="27"/>
      <c r="AK151" s="23"/>
    </row>
    <row r="152" spans="1:37">
      <c r="A152" s="20"/>
      <c r="B152" s="20"/>
      <c r="C152" s="20"/>
      <c r="D152" s="27"/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 t="str">
        <f t="shared" si="2"/>
        <v/>
      </c>
      <c r="Q152" s="23" t="str">
        <f>_xlfn.IFNA(IF(SUM(D152:O152)=0,VLOOKUP(C152,DASHBOARD!$L$9:$M$11,2,0)*12,VLOOKUP(C152,DASHBOARD!$L$9:$M$11,2,0)*12-P152),"")</f>
        <v/>
      </c>
      <c r="U152" s="20"/>
      <c r="V152" s="20"/>
      <c r="W152" s="20"/>
      <c r="X152" s="27"/>
      <c r="Y152" s="27"/>
      <c r="Z152" s="27"/>
      <c r="AA152" s="27"/>
      <c r="AB152" s="27"/>
      <c r="AC152" s="27"/>
      <c r="AD152" s="27"/>
      <c r="AE152" s="27"/>
      <c r="AF152" s="27"/>
      <c r="AG152" s="27"/>
      <c r="AH152" s="27"/>
      <c r="AI152" s="27"/>
      <c r="AJ152" s="27"/>
      <c r="AK152" s="23"/>
    </row>
    <row r="153" spans="1:37">
      <c r="A153" s="20"/>
      <c r="B153" s="20"/>
      <c r="C153" s="20"/>
      <c r="D153" s="27"/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P153" s="27" t="str">
        <f t="shared" si="2"/>
        <v/>
      </c>
      <c r="Q153" s="23" t="str">
        <f>_xlfn.IFNA(IF(SUM(D153:O153)=0,VLOOKUP(C153,DASHBOARD!$L$9:$M$11,2,0)*12,VLOOKUP(C153,DASHBOARD!$L$9:$M$11,2,0)*12-P153),"")</f>
        <v/>
      </c>
      <c r="U153" s="20"/>
      <c r="V153" s="20"/>
      <c r="W153" s="20"/>
      <c r="X153" s="27"/>
      <c r="Y153" s="27"/>
      <c r="Z153" s="27"/>
      <c r="AA153" s="27"/>
      <c r="AB153" s="27"/>
      <c r="AC153" s="27"/>
      <c r="AD153" s="27"/>
      <c r="AE153" s="27"/>
      <c r="AF153" s="27"/>
      <c r="AG153" s="27"/>
      <c r="AH153" s="27"/>
      <c r="AI153" s="27"/>
      <c r="AJ153" s="27"/>
      <c r="AK153" s="23"/>
    </row>
    <row r="154" spans="1:37">
      <c r="A154" s="20"/>
      <c r="B154" s="20"/>
      <c r="C154" s="20"/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 t="str">
        <f t="shared" si="2"/>
        <v/>
      </c>
      <c r="Q154" s="23" t="str">
        <f>_xlfn.IFNA(IF(SUM(D154:O154)=0,VLOOKUP(C154,DASHBOARD!$L$9:$M$11,2,0)*12,VLOOKUP(C154,DASHBOARD!$L$9:$M$11,2,0)*12-P154),"")</f>
        <v/>
      </c>
      <c r="U154" s="20"/>
      <c r="V154" s="20"/>
      <c r="W154" s="20"/>
      <c r="X154" s="27"/>
      <c r="Y154" s="27"/>
      <c r="Z154" s="27"/>
      <c r="AA154" s="27"/>
      <c r="AB154" s="27"/>
      <c r="AC154" s="27"/>
      <c r="AD154" s="27"/>
      <c r="AE154" s="27"/>
      <c r="AF154" s="27"/>
      <c r="AG154" s="27"/>
      <c r="AH154" s="27"/>
      <c r="AI154" s="27"/>
      <c r="AJ154" s="27"/>
      <c r="AK154" s="23"/>
    </row>
    <row r="155" spans="1:37">
      <c r="A155" s="20"/>
      <c r="B155" s="20"/>
      <c r="C155" s="20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27" t="str">
        <f t="shared" si="2"/>
        <v/>
      </c>
      <c r="Q155" s="23" t="str">
        <f>_xlfn.IFNA(IF(SUM(D155:O155)=0,VLOOKUP(C155,DASHBOARD!$L$9:$M$11,2,0)*12,VLOOKUP(C155,DASHBOARD!$L$9:$M$11,2,0)*12-P155),"")</f>
        <v/>
      </c>
      <c r="U155" s="20"/>
      <c r="V155" s="20"/>
      <c r="W155" s="20"/>
      <c r="X155" s="27"/>
      <c r="Y155" s="27"/>
      <c r="Z155" s="27"/>
      <c r="AA155" s="27"/>
      <c r="AB155" s="27"/>
      <c r="AC155" s="27"/>
      <c r="AD155" s="27"/>
      <c r="AE155" s="27"/>
      <c r="AF155" s="27"/>
      <c r="AG155" s="27"/>
      <c r="AH155" s="27"/>
      <c r="AI155" s="27"/>
      <c r="AJ155" s="27"/>
      <c r="AK155" s="23"/>
    </row>
    <row r="156" spans="1:37">
      <c r="A156" s="20"/>
      <c r="B156" s="20"/>
      <c r="C156" s="20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 t="str">
        <f t="shared" si="2"/>
        <v/>
      </c>
      <c r="Q156" s="23" t="str">
        <f>_xlfn.IFNA(IF(SUM(D156:O156)=0,VLOOKUP(C156,DASHBOARD!$L$9:$M$11,2,0)*12,VLOOKUP(C156,DASHBOARD!$L$9:$M$11,2,0)*12-P156),"")</f>
        <v/>
      </c>
      <c r="U156" s="20"/>
      <c r="V156" s="20"/>
      <c r="W156" s="20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3"/>
    </row>
    <row r="157" spans="1:37">
      <c r="A157" s="20"/>
      <c r="B157" s="20"/>
      <c r="C157" s="20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 t="str">
        <f t="shared" si="2"/>
        <v/>
      </c>
      <c r="Q157" s="23" t="str">
        <f>_xlfn.IFNA(IF(SUM(D157:O157)=0,VLOOKUP(C157,DASHBOARD!$L$9:$M$11,2,0)*12,VLOOKUP(C157,DASHBOARD!$L$9:$M$11,2,0)*12-P157),"")</f>
        <v/>
      </c>
      <c r="U157" s="20"/>
      <c r="V157" s="20"/>
      <c r="W157" s="20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/>
      <c r="AK157" s="23"/>
    </row>
    <row r="158" spans="1:37">
      <c r="A158" s="20"/>
      <c r="B158" s="20"/>
      <c r="C158" s="20"/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 t="str">
        <f t="shared" si="2"/>
        <v/>
      </c>
      <c r="Q158" s="23" t="str">
        <f>_xlfn.IFNA(IF(SUM(D158:O158)=0,VLOOKUP(C158,DASHBOARD!$L$9:$M$11,2,0)*12,VLOOKUP(C158,DASHBOARD!$L$9:$M$11,2,0)*12-P158),"")</f>
        <v/>
      </c>
      <c r="U158" s="20"/>
      <c r="V158" s="20"/>
      <c r="W158" s="20"/>
      <c r="X158" s="27"/>
      <c r="Y158" s="27"/>
      <c r="Z158" s="27"/>
      <c r="AA158" s="27"/>
      <c r="AB158" s="27"/>
      <c r="AC158" s="27"/>
      <c r="AD158" s="27"/>
      <c r="AE158" s="27"/>
      <c r="AF158" s="27"/>
      <c r="AG158" s="27"/>
      <c r="AH158" s="27"/>
      <c r="AI158" s="27"/>
      <c r="AJ158" s="27"/>
      <c r="AK158" s="23"/>
    </row>
    <row r="159" spans="1:37">
      <c r="A159" s="20"/>
      <c r="B159" s="20"/>
      <c r="C159" s="20"/>
      <c r="D159" s="27"/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P159" s="27" t="str">
        <f t="shared" si="2"/>
        <v/>
      </c>
      <c r="Q159" s="23" t="str">
        <f>_xlfn.IFNA(IF(SUM(D159:O159)=0,VLOOKUP(C159,DASHBOARD!$L$9:$M$11,2,0)*12,VLOOKUP(C159,DASHBOARD!$L$9:$M$11,2,0)*12-P159),"")</f>
        <v/>
      </c>
      <c r="U159" s="20"/>
      <c r="V159" s="20"/>
      <c r="W159" s="20"/>
      <c r="X159" s="27"/>
      <c r="Y159" s="27"/>
      <c r="Z159" s="27"/>
      <c r="AA159" s="27"/>
      <c r="AB159" s="27"/>
      <c r="AC159" s="27"/>
      <c r="AD159" s="27"/>
      <c r="AE159" s="27"/>
      <c r="AF159" s="27"/>
      <c r="AG159" s="27"/>
      <c r="AH159" s="27"/>
      <c r="AI159" s="27"/>
      <c r="AJ159" s="27"/>
      <c r="AK159" s="23"/>
    </row>
    <row r="160" spans="1:37">
      <c r="A160" s="20"/>
      <c r="B160" s="20"/>
      <c r="C160" s="20"/>
      <c r="D160" s="27"/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 t="str">
        <f t="shared" si="2"/>
        <v/>
      </c>
      <c r="Q160" s="23" t="str">
        <f>_xlfn.IFNA(IF(SUM(D160:O160)=0,VLOOKUP(C160,DASHBOARD!$L$9:$M$11,2,0)*12,VLOOKUP(C160,DASHBOARD!$L$9:$M$11,2,0)*12-P160),"")</f>
        <v/>
      </c>
      <c r="U160" s="20"/>
      <c r="V160" s="20"/>
      <c r="W160" s="20"/>
      <c r="X160" s="27"/>
      <c r="Y160" s="27"/>
      <c r="Z160" s="27"/>
      <c r="AA160" s="27"/>
      <c r="AB160" s="27"/>
      <c r="AC160" s="27"/>
      <c r="AD160" s="27"/>
      <c r="AE160" s="27"/>
      <c r="AF160" s="27"/>
      <c r="AG160" s="27"/>
      <c r="AH160" s="27"/>
      <c r="AI160" s="27"/>
      <c r="AJ160" s="27"/>
      <c r="AK160" s="23"/>
    </row>
    <row r="161" spans="1:37">
      <c r="A161" s="20"/>
      <c r="B161" s="20"/>
      <c r="C161" s="20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 t="str">
        <f t="shared" si="2"/>
        <v/>
      </c>
      <c r="Q161" s="23" t="str">
        <f>_xlfn.IFNA(IF(SUM(D161:O161)=0,VLOOKUP(C161,DASHBOARD!$L$9:$M$11,2,0)*12,VLOOKUP(C161,DASHBOARD!$L$9:$M$11,2,0)*12-P161),"")</f>
        <v/>
      </c>
      <c r="U161" s="20"/>
      <c r="V161" s="20"/>
      <c r="W161" s="20"/>
      <c r="X161" s="27"/>
      <c r="Y161" s="27"/>
      <c r="Z161" s="27"/>
      <c r="AA161" s="27"/>
      <c r="AB161" s="27"/>
      <c r="AC161" s="27"/>
      <c r="AD161" s="27"/>
      <c r="AE161" s="27"/>
      <c r="AF161" s="27"/>
      <c r="AG161" s="27"/>
      <c r="AH161" s="27"/>
      <c r="AI161" s="27"/>
      <c r="AJ161" s="27"/>
      <c r="AK161" s="23"/>
    </row>
    <row r="162" spans="1:37">
      <c r="A162" s="20"/>
      <c r="B162" s="20"/>
      <c r="C162" s="20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 t="str">
        <f t="shared" si="2"/>
        <v/>
      </c>
      <c r="Q162" s="23" t="str">
        <f>_xlfn.IFNA(IF(SUM(D162:O162)=0,VLOOKUP(C162,DASHBOARD!$L$9:$M$11,2,0)*12,VLOOKUP(C162,DASHBOARD!$L$9:$M$11,2,0)*12-P162),"")</f>
        <v/>
      </c>
      <c r="U162" s="20"/>
      <c r="V162" s="20"/>
      <c r="W162" s="20"/>
      <c r="X162" s="27"/>
      <c r="Y162" s="27"/>
      <c r="Z162" s="27"/>
      <c r="AA162" s="27"/>
      <c r="AB162" s="27"/>
      <c r="AC162" s="27"/>
      <c r="AD162" s="27"/>
      <c r="AE162" s="27"/>
      <c r="AF162" s="27"/>
      <c r="AG162" s="27"/>
      <c r="AH162" s="27"/>
      <c r="AI162" s="27"/>
      <c r="AJ162" s="27"/>
      <c r="AK162" s="23"/>
    </row>
    <row r="163" spans="1:37">
      <c r="A163" s="20"/>
      <c r="B163" s="20"/>
      <c r="C163" s="20"/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27"/>
      <c r="P163" s="27" t="str">
        <f t="shared" si="2"/>
        <v/>
      </c>
      <c r="Q163" s="23" t="str">
        <f>_xlfn.IFNA(IF(SUM(D163:O163)=0,VLOOKUP(C163,DASHBOARD!$L$9:$M$11,2,0)*12,VLOOKUP(C163,DASHBOARD!$L$9:$M$11,2,0)*12-P163),"")</f>
        <v/>
      </c>
      <c r="U163" s="20"/>
      <c r="V163" s="20"/>
      <c r="W163" s="20"/>
      <c r="X163" s="27"/>
      <c r="Y163" s="27"/>
      <c r="Z163" s="27"/>
      <c r="AA163" s="27"/>
      <c r="AB163" s="27"/>
      <c r="AC163" s="27"/>
      <c r="AD163" s="27"/>
      <c r="AE163" s="27"/>
      <c r="AF163" s="27"/>
      <c r="AG163" s="27"/>
      <c r="AH163" s="27"/>
      <c r="AI163" s="27"/>
      <c r="AJ163" s="27"/>
      <c r="AK163" s="23"/>
    </row>
    <row r="164" spans="1:37">
      <c r="A164" s="20"/>
      <c r="B164" s="20"/>
      <c r="C164" s="20"/>
      <c r="D164" s="27"/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 t="str">
        <f t="shared" si="2"/>
        <v/>
      </c>
      <c r="Q164" s="23" t="str">
        <f>_xlfn.IFNA(IF(SUM(D164:O164)=0,VLOOKUP(C164,DASHBOARD!$L$9:$M$11,2,0)*12,VLOOKUP(C164,DASHBOARD!$L$9:$M$11,2,0)*12-P164),"")</f>
        <v/>
      </c>
      <c r="U164" s="20"/>
      <c r="V164" s="20"/>
      <c r="W164" s="20"/>
      <c r="X164" s="27"/>
      <c r="Y164" s="27"/>
      <c r="Z164" s="27"/>
      <c r="AA164" s="27"/>
      <c r="AB164" s="27"/>
      <c r="AC164" s="27"/>
      <c r="AD164" s="27"/>
      <c r="AE164" s="27"/>
      <c r="AF164" s="27"/>
      <c r="AG164" s="27"/>
      <c r="AH164" s="27"/>
      <c r="AI164" s="27"/>
      <c r="AJ164" s="27"/>
      <c r="AK164" s="23"/>
    </row>
    <row r="165" spans="1:37">
      <c r="A165" s="20"/>
      <c r="B165" s="20"/>
      <c r="C165" s="20"/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P165" s="27" t="str">
        <f t="shared" si="2"/>
        <v/>
      </c>
      <c r="Q165" s="23" t="str">
        <f>_xlfn.IFNA(IF(SUM(D165:O165)=0,VLOOKUP(C165,DASHBOARD!$L$9:$M$11,2,0)*12,VLOOKUP(C165,DASHBOARD!$L$9:$M$11,2,0)*12-P165),"")</f>
        <v/>
      </c>
      <c r="U165" s="20"/>
      <c r="V165" s="20"/>
      <c r="W165" s="20"/>
      <c r="X165" s="27"/>
      <c r="Y165" s="27"/>
      <c r="Z165" s="27"/>
      <c r="AA165" s="27"/>
      <c r="AB165" s="27"/>
      <c r="AC165" s="27"/>
      <c r="AD165" s="27"/>
      <c r="AE165" s="27"/>
      <c r="AF165" s="27"/>
      <c r="AG165" s="27"/>
      <c r="AH165" s="27"/>
      <c r="AI165" s="27"/>
      <c r="AJ165" s="27"/>
      <c r="AK165" s="23"/>
    </row>
    <row r="166" spans="1:37">
      <c r="A166" s="20"/>
      <c r="B166" s="20"/>
      <c r="C166" s="20"/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 t="str">
        <f t="shared" si="2"/>
        <v/>
      </c>
      <c r="Q166" s="23" t="str">
        <f>_xlfn.IFNA(IF(SUM(D166:O166)=0,VLOOKUP(C166,DASHBOARD!$L$9:$M$11,2,0)*12,VLOOKUP(C166,DASHBOARD!$L$9:$M$11,2,0)*12-P166),"")</f>
        <v/>
      </c>
      <c r="U166" s="20"/>
      <c r="V166" s="20"/>
      <c r="W166" s="20"/>
      <c r="X166" s="27"/>
      <c r="Y166" s="27"/>
      <c r="Z166" s="27"/>
      <c r="AA166" s="27"/>
      <c r="AB166" s="27"/>
      <c r="AC166" s="27"/>
      <c r="AD166" s="27"/>
      <c r="AE166" s="27"/>
      <c r="AF166" s="27"/>
      <c r="AG166" s="27"/>
      <c r="AH166" s="27"/>
      <c r="AI166" s="27"/>
      <c r="AJ166" s="27"/>
      <c r="AK166" s="23"/>
    </row>
    <row r="167" spans="1:37">
      <c r="A167" s="20"/>
      <c r="B167" s="20"/>
      <c r="C167" s="20"/>
      <c r="D167" s="27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27" t="str">
        <f t="shared" si="2"/>
        <v/>
      </c>
      <c r="Q167" s="23" t="str">
        <f>_xlfn.IFNA(IF(SUM(D167:O167)=0,VLOOKUP(C167,DASHBOARD!$L$9:$M$11,2,0)*12,VLOOKUP(C167,DASHBOARD!$L$9:$M$11,2,0)*12-P167),"")</f>
        <v/>
      </c>
      <c r="U167" s="20"/>
      <c r="V167" s="20"/>
      <c r="W167" s="20"/>
      <c r="X167" s="27"/>
      <c r="Y167" s="27"/>
      <c r="Z167" s="27"/>
      <c r="AA167" s="27"/>
      <c r="AB167" s="27"/>
      <c r="AC167" s="27"/>
      <c r="AD167" s="27"/>
      <c r="AE167" s="27"/>
      <c r="AF167" s="27"/>
      <c r="AG167" s="27"/>
      <c r="AH167" s="27"/>
      <c r="AI167" s="27"/>
      <c r="AJ167" s="27"/>
      <c r="AK167" s="23"/>
    </row>
    <row r="168" spans="1:37">
      <c r="A168" s="20"/>
      <c r="B168" s="20"/>
      <c r="C168" s="20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 t="str">
        <f t="shared" si="2"/>
        <v/>
      </c>
      <c r="Q168" s="23" t="str">
        <f>_xlfn.IFNA(IF(SUM(D168:O168)=0,VLOOKUP(C168,DASHBOARD!$L$9:$M$11,2,0)*12,VLOOKUP(C168,DASHBOARD!$L$9:$M$11,2,0)*12-P168),"")</f>
        <v/>
      </c>
      <c r="U168" s="20"/>
      <c r="V168" s="20"/>
      <c r="W168" s="20"/>
      <c r="X168" s="27"/>
      <c r="Y168" s="27"/>
      <c r="Z168" s="27"/>
      <c r="AA168" s="27"/>
      <c r="AB168" s="27"/>
      <c r="AC168" s="27"/>
      <c r="AD168" s="27"/>
      <c r="AE168" s="27"/>
      <c r="AF168" s="27"/>
      <c r="AG168" s="27"/>
      <c r="AH168" s="27"/>
      <c r="AI168" s="27"/>
      <c r="AJ168" s="27"/>
      <c r="AK168" s="23"/>
    </row>
    <row r="169" spans="1:37">
      <c r="A169" s="20"/>
      <c r="B169" s="20"/>
      <c r="C169" s="20"/>
      <c r="D169" s="27"/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P169" s="27" t="str">
        <f t="shared" si="2"/>
        <v/>
      </c>
      <c r="Q169" s="23" t="str">
        <f>_xlfn.IFNA(IF(SUM(D169:O169)=0,VLOOKUP(C169,DASHBOARD!$L$9:$M$11,2,0)*12,VLOOKUP(C169,DASHBOARD!$L$9:$M$11,2,0)*12-P169),"")</f>
        <v/>
      </c>
      <c r="U169" s="20"/>
      <c r="V169" s="20"/>
      <c r="W169" s="20"/>
      <c r="X169" s="27"/>
      <c r="Y169" s="27"/>
      <c r="Z169" s="27"/>
      <c r="AA169" s="27"/>
      <c r="AB169" s="27"/>
      <c r="AC169" s="27"/>
      <c r="AD169" s="27"/>
      <c r="AE169" s="27"/>
      <c r="AF169" s="27"/>
      <c r="AG169" s="27"/>
      <c r="AH169" s="27"/>
      <c r="AI169" s="27"/>
      <c r="AJ169" s="27"/>
      <c r="AK169" s="23"/>
    </row>
    <row r="170" spans="1:37">
      <c r="A170" s="20"/>
      <c r="B170" s="20"/>
      <c r="C170" s="20"/>
      <c r="D170" s="27"/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 t="str">
        <f t="shared" si="2"/>
        <v/>
      </c>
      <c r="Q170" s="23" t="str">
        <f>_xlfn.IFNA(IF(SUM(D170:O170)=0,VLOOKUP(C170,DASHBOARD!$L$9:$M$11,2,0)*12,VLOOKUP(C170,DASHBOARD!$L$9:$M$11,2,0)*12-P170),"")</f>
        <v/>
      </c>
      <c r="U170" s="20"/>
      <c r="V170" s="20"/>
      <c r="W170" s="20"/>
      <c r="X170" s="27"/>
      <c r="Y170" s="27"/>
      <c r="Z170" s="27"/>
      <c r="AA170" s="27"/>
      <c r="AB170" s="27"/>
      <c r="AC170" s="27"/>
      <c r="AD170" s="27"/>
      <c r="AE170" s="27"/>
      <c r="AF170" s="27"/>
      <c r="AG170" s="27"/>
      <c r="AH170" s="27"/>
      <c r="AI170" s="27"/>
      <c r="AJ170" s="27"/>
      <c r="AK170" s="23"/>
    </row>
    <row r="171" spans="1:37">
      <c r="A171" s="20"/>
      <c r="B171" s="20"/>
      <c r="C171" s="20"/>
      <c r="D171" s="27"/>
      <c r="E171" s="27"/>
      <c r="F171" s="27"/>
      <c r="G171" s="27"/>
      <c r="H171" s="27"/>
      <c r="I171" s="27"/>
      <c r="J171" s="27"/>
      <c r="K171" s="27"/>
      <c r="L171" s="27"/>
      <c r="M171" s="27"/>
      <c r="N171" s="27"/>
      <c r="O171" s="27"/>
      <c r="P171" s="27" t="str">
        <f t="shared" si="2"/>
        <v/>
      </c>
      <c r="Q171" s="23" t="str">
        <f>_xlfn.IFNA(IF(SUM(D171:O171)=0,VLOOKUP(C171,DASHBOARD!$L$9:$M$11,2,0)*12,VLOOKUP(C171,DASHBOARD!$L$9:$M$11,2,0)*12-P171),"")</f>
        <v/>
      </c>
      <c r="U171" s="20"/>
      <c r="V171" s="20"/>
      <c r="W171" s="20"/>
      <c r="X171" s="27"/>
      <c r="Y171" s="27"/>
      <c r="Z171" s="27"/>
      <c r="AA171" s="27"/>
      <c r="AB171" s="27"/>
      <c r="AC171" s="27"/>
      <c r="AD171" s="27"/>
      <c r="AE171" s="27"/>
      <c r="AF171" s="27"/>
      <c r="AG171" s="27"/>
      <c r="AH171" s="27"/>
      <c r="AI171" s="27"/>
      <c r="AJ171" s="27"/>
      <c r="AK171" s="23"/>
    </row>
    <row r="172" spans="1:37">
      <c r="A172" s="20"/>
      <c r="B172" s="20"/>
      <c r="C172" s="20"/>
      <c r="D172" s="27"/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 t="str">
        <f t="shared" si="2"/>
        <v/>
      </c>
      <c r="Q172" s="23" t="str">
        <f>_xlfn.IFNA(IF(SUM(D172:O172)=0,VLOOKUP(C172,DASHBOARD!$L$9:$M$11,2,0)*12,VLOOKUP(C172,DASHBOARD!$L$9:$M$11,2,0)*12-P172),"")</f>
        <v/>
      </c>
      <c r="U172" s="20"/>
      <c r="V172" s="20"/>
      <c r="W172" s="20"/>
      <c r="X172" s="27"/>
      <c r="Y172" s="27"/>
      <c r="Z172" s="27"/>
      <c r="AA172" s="27"/>
      <c r="AB172" s="27"/>
      <c r="AC172" s="27"/>
      <c r="AD172" s="27"/>
      <c r="AE172" s="27"/>
      <c r="AF172" s="27"/>
      <c r="AG172" s="27"/>
      <c r="AH172" s="27"/>
      <c r="AI172" s="27"/>
      <c r="AJ172" s="27"/>
      <c r="AK172" s="23"/>
    </row>
    <row r="173" spans="1:37">
      <c r="A173" s="20"/>
      <c r="B173" s="20"/>
      <c r="C173" s="20"/>
      <c r="D173" s="27"/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O173" s="27"/>
      <c r="P173" s="27" t="str">
        <f t="shared" si="2"/>
        <v/>
      </c>
      <c r="Q173" s="23" t="str">
        <f>_xlfn.IFNA(IF(SUM(D173:O173)=0,VLOOKUP(C173,DASHBOARD!$L$9:$M$11,2,0)*12,VLOOKUP(C173,DASHBOARD!$L$9:$M$11,2,0)*12-P173),"")</f>
        <v/>
      </c>
      <c r="U173" s="20"/>
      <c r="V173" s="20"/>
      <c r="W173" s="20"/>
      <c r="X173" s="27"/>
      <c r="Y173" s="27"/>
      <c r="Z173" s="27"/>
      <c r="AA173" s="27"/>
      <c r="AB173" s="27"/>
      <c r="AC173" s="27"/>
      <c r="AD173" s="27"/>
      <c r="AE173" s="27"/>
      <c r="AF173" s="27"/>
      <c r="AG173" s="27"/>
      <c r="AH173" s="27"/>
      <c r="AI173" s="27"/>
      <c r="AJ173" s="27"/>
      <c r="AK173" s="23"/>
    </row>
    <row r="174" spans="1:37">
      <c r="A174" s="20"/>
      <c r="B174" s="20"/>
      <c r="C174" s="20"/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 t="str">
        <f t="shared" si="2"/>
        <v/>
      </c>
      <c r="Q174" s="23" t="str">
        <f>_xlfn.IFNA(IF(SUM(D174:O174)=0,VLOOKUP(C174,DASHBOARD!$L$9:$M$11,2,0)*12,VLOOKUP(C174,DASHBOARD!$L$9:$M$11,2,0)*12-P174),"")</f>
        <v/>
      </c>
      <c r="U174" s="20"/>
      <c r="V174" s="20"/>
      <c r="W174" s="20"/>
      <c r="X174" s="27"/>
      <c r="Y174" s="27"/>
      <c r="Z174" s="27"/>
      <c r="AA174" s="27"/>
      <c r="AB174" s="27"/>
      <c r="AC174" s="27"/>
      <c r="AD174" s="27"/>
      <c r="AE174" s="27"/>
      <c r="AF174" s="27"/>
      <c r="AG174" s="27"/>
      <c r="AH174" s="27"/>
      <c r="AI174" s="27"/>
      <c r="AJ174" s="27"/>
      <c r="AK174" s="23"/>
    </row>
    <row r="175" spans="1:37">
      <c r="A175" s="20"/>
      <c r="B175" s="20"/>
      <c r="C175" s="20"/>
      <c r="D175" s="27"/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27" t="str">
        <f t="shared" si="2"/>
        <v/>
      </c>
      <c r="Q175" s="23" t="str">
        <f>_xlfn.IFNA(IF(SUM(D175:O175)=0,VLOOKUP(C175,DASHBOARD!$L$9:$M$11,2,0)*12,VLOOKUP(C175,DASHBOARD!$L$9:$M$11,2,0)*12-P175),"")</f>
        <v/>
      </c>
      <c r="U175" s="20"/>
      <c r="V175" s="20"/>
      <c r="W175" s="20"/>
      <c r="X175" s="27"/>
      <c r="Y175" s="27"/>
      <c r="Z175" s="27"/>
      <c r="AA175" s="27"/>
      <c r="AB175" s="27"/>
      <c r="AC175" s="27"/>
      <c r="AD175" s="27"/>
      <c r="AE175" s="27"/>
      <c r="AF175" s="27"/>
      <c r="AG175" s="27"/>
      <c r="AH175" s="27"/>
      <c r="AI175" s="27"/>
      <c r="AJ175" s="27"/>
      <c r="AK175" s="23"/>
    </row>
    <row r="176" spans="1:37">
      <c r="A176" s="20"/>
      <c r="B176" s="20"/>
      <c r="C176" s="20"/>
      <c r="D176" s="27"/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 t="str">
        <f t="shared" si="2"/>
        <v/>
      </c>
      <c r="Q176" s="23" t="str">
        <f>_xlfn.IFNA(IF(SUM(D176:O176)=0,VLOOKUP(C176,DASHBOARD!$L$9:$M$11,2,0)*12,VLOOKUP(C176,DASHBOARD!$L$9:$M$11,2,0)*12-P176),"")</f>
        <v/>
      </c>
      <c r="U176" s="20"/>
      <c r="V176" s="20"/>
      <c r="W176" s="20"/>
      <c r="X176" s="27"/>
      <c r="Y176" s="27"/>
      <c r="Z176" s="27"/>
      <c r="AA176" s="27"/>
      <c r="AB176" s="27"/>
      <c r="AC176" s="27"/>
      <c r="AD176" s="27"/>
      <c r="AE176" s="27"/>
      <c r="AF176" s="27"/>
      <c r="AG176" s="27"/>
      <c r="AH176" s="27"/>
      <c r="AI176" s="27"/>
      <c r="AJ176" s="27"/>
      <c r="AK176" s="23"/>
    </row>
    <row r="177" spans="1:37">
      <c r="A177" s="20"/>
      <c r="B177" s="20"/>
      <c r="C177" s="20"/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 t="str">
        <f t="shared" si="2"/>
        <v/>
      </c>
      <c r="Q177" s="23" t="str">
        <f>_xlfn.IFNA(IF(SUM(D177:O177)=0,VLOOKUP(C177,DASHBOARD!$L$9:$M$11,2,0)*12,VLOOKUP(C177,DASHBOARD!$L$9:$M$11,2,0)*12-P177),"")</f>
        <v/>
      </c>
      <c r="U177" s="20"/>
      <c r="V177" s="20"/>
      <c r="W177" s="20"/>
      <c r="X177" s="27"/>
      <c r="Y177" s="27"/>
      <c r="Z177" s="27"/>
      <c r="AA177" s="27"/>
      <c r="AB177" s="27"/>
      <c r="AC177" s="27"/>
      <c r="AD177" s="27"/>
      <c r="AE177" s="27"/>
      <c r="AF177" s="27"/>
      <c r="AG177" s="27"/>
      <c r="AH177" s="27"/>
      <c r="AI177" s="27"/>
      <c r="AJ177" s="27"/>
      <c r="AK177" s="23"/>
    </row>
    <row r="178" spans="1:37">
      <c r="A178" s="20"/>
      <c r="B178" s="20"/>
      <c r="C178" s="20"/>
      <c r="D178" s="27"/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 t="str">
        <f t="shared" si="2"/>
        <v/>
      </c>
      <c r="Q178" s="23" t="str">
        <f>_xlfn.IFNA(IF(SUM(D178:O178)=0,VLOOKUP(C178,DASHBOARD!$L$9:$M$11,2,0)*12,VLOOKUP(C178,DASHBOARD!$L$9:$M$11,2,0)*12-P178),"")</f>
        <v/>
      </c>
      <c r="U178" s="20"/>
      <c r="V178" s="20"/>
      <c r="W178" s="20"/>
      <c r="X178" s="27"/>
      <c r="Y178" s="27"/>
      <c r="Z178" s="27"/>
      <c r="AA178" s="27"/>
      <c r="AB178" s="27"/>
      <c r="AC178" s="27"/>
      <c r="AD178" s="27"/>
      <c r="AE178" s="27"/>
      <c r="AF178" s="27"/>
      <c r="AG178" s="27"/>
      <c r="AH178" s="27"/>
      <c r="AI178" s="27"/>
      <c r="AJ178" s="27"/>
      <c r="AK178" s="23"/>
    </row>
    <row r="179" spans="1:37">
      <c r="A179" s="20"/>
      <c r="B179" s="20"/>
      <c r="C179" s="20"/>
      <c r="D179" s="27"/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O179" s="27"/>
      <c r="P179" s="27" t="str">
        <f t="shared" si="2"/>
        <v/>
      </c>
      <c r="Q179" s="23" t="str">
        <f>_xlfn.IFNA(IF(SUM(D179:O179)=0,VLOOKUP(C179,DASHBOARD!$L$9:$M$11,2,0)*12,VLOOKUP(C179,DASHBOARD!$L$9:$M$11,2,0)*12-P179),"")</f>
        <v/>
      </c>
      <c r="U179" s="20"/>
      <c r="V179" s="20"/>
      <c r="W179" s="20"/>
      <c r="X179" s="27"/>
      <c r="Y179" s="27"/>
      <c r="Z179" s="27"/>
      <c r="AA179" s="27"/>
      <c r="AB179" s="27"/>
      <c r="AC179" s="27"/>
      <c r="AD179" s="27"/>
      <c r="AE179" s="27"/>
      <c r="AF179" s="27"/>
      <c r="AG179" s="27"/>
      <c r="AH179" s="27"/>
      <c r="AI179" s="27"/>
      <c r="AJ179" s="27"/>
      <c r="AK179" s="23"/>
    </row>
    <row r="180" spans="1:37">
      <c r="A180" s="20"/>
      <c r="B180" s="20"/>
      <c r="C180" s="20"/>
      <c r="D180" s="27"/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 t="str">
        <f t="shared" si="2"/>
        <v/>
      </c>
      <c r="Q180" s="23" t="str">
        <f>_xlfn.IFNA(IF(SUM(D180:O180)=0,VLOOKUP(C180,DASHBOARD!$L$9:$M$11,2,0)*12,VLOOKUP(C180,DASHBOARD!$L$9:$M$11,2,0)*12-P180),"")</f>
        <v/>
      </c>
      <c r="U180" s="20"/>
      <c r="V180" s="20"/>
      <c r="W180" s="20"/>
      <c r="X180" s="27"/>
      <c r="Y180" s="27"/>
      <c r="Z180" s="27"/>
      <c r="AA180" s="27"/>
      <c r="AB180" s="27"/>
      <c r="AC180" s="27"/>
      <c r="AD180" s="27"/>
      <c r="AE180" s="27"/>
      <c r="AF180" s="27"/>
      <c r="AG180" s="27"/>
      <c r="AH180" s="27"/>
      <c r="AI180" s="27"/>
      <c r="AJ180" s="27"/>
      <c r="AK180" s="23"/>
    </row>
    <row r="181" spans="1:37">
      <c r="A181" s="20"/>
      <c r="B181" s="20"/>
      <c r="C181" s="20"/>
      <c r="D181" s="27"/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O181" s="27"/>
      <c r="P181" s="27" t="str">
        <f t="shared" si="2"/>
        <v/>
      </c>
      <c r="Q181" s="23" t="str">
        <f>_xlfn.IFNA(IF(SUM(D181:O181)=0,VLOOKUP(C181,DASHBOARD!$L$9:$M$11,2,0)*12,VLOOKUP(C181,DASHBOARD!$L$9:$M$11,2,0)*12-P181),"")</f>
        <v/>
      </c>
      <c r="U181" s="20"/>
      <c r="V181" s="20"/>
      <c r="W181" s="20"/>
      <c r="X181" s="27"/>
      <c r="Y181" s="27"/>
      <c r="Z181" s="27"/>
      <c r="AA181" s="27"/>
      <c r="AB181" s="27"/>
      <c r="AC181" s="27"/>
      <c r="AD181" s="27"/>
      <c r="AE181" s="27"/>
      <c r="AF181" s="27"/>
      <c r="AG181" s="27"/>
      <c r="AH181" s="27"/>
      <c r="AI181" s="27"/>
      <c r="AJ181" s="27"/>
      <c r="AK181" s="23"/>
    </row>
    <row r="182" spans="1:37">
      <c r="A182" s="20"/>
      <c r="B182" s="20"/>
      <c r="C182" s="20"/>
      <c r="D182" s="27"/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 t="str">
        <f t="shared" si="2"/>
        <v/>
      </c>
      <c r="Q182" s="23" t="str">
        <f>_xlfn.IFNA(IF(SUM(D182:O182)=0,VLOOKUP(C182,DASHBOARD!$L$9:$M$11,2,0)*12,VLOOKUP(C182,DASHBOARD!$L$9:$M$11,2,0)*12-P182),"")</f>
        <v/>
      </c>
      <c r="U182" s="20"/>
      <c r="V182" s="20"/>
      <c r="W182" s="20"/>
      <c r="X182" s="27"/>
      <c r="Y182" s="27"/>
      <c r="Z182" s="27"/>
      <c r="AA182" s="27"/>
      <c r="AB182" s="27"/>
      <c r="AC182" s="27"/>
      <c r="AD182" s="27"/>
      <c r="AE182" s="27"/>
      <c r="AF182" s="27"/>
      <c r="AG182" s="27"/>
      <c r="AH182" s="27"/>
      <c r="AI182" s="27"/>
      <c r="AJ182" s="27"/>
      <c r="AK182" s="23"/>
    </row>
    <row r="183" spans="1:37">
      <c r="A183" s="20"/>
      <c r="B183" s="20"/>
      <c r="C183" s="20"/>
      <c r="D183" s="27"/>
      <c r="E183" s="27"/>
      <c r="F183" s="27"/>
      <c r="G183" s="27"/>
      <c r="H183" s="27"/>
      <c r="I183" s="27"/>
      <c r="J183" s="27"/>
      <c r="K183" s="27"/>
      <c r="L183" s="27"/>
      <c r="M183" s="27"/>
      <c r="N183" s="27"/>
      <c r="O183" s="27"/>
      <c r="P183" s="27" t="str">
        <f t="shared" si="2"/>
        <v/>
      </c>
      <c r="Q183" s="23" t="str">
        <f>_xlfn.IFNA(IF(SUM(D183:O183)=0,VLOOKUP(C183,DASHBOARD!$L$9:$M$11,2,0)*12,VLOOKUP(C183,DASHBOARD!$L$9:$M$11,2,0)*12-P183),"")</f>
        <v/>
      </c>
      <c r="U183" s="20"/>
      <c r="V183" s="20"/>
      <c r="W183" s="20"/>
      <c r="X183" s="27"/>
      <c r="Y183" s="27"/>
      <c r="Z183" s="27"/>
      <c r="AA183" s="27"/>
      <c r="AB183" s="27"/>
      <c r="AC183" s="27"/>
      <c r="AD183" s="27"/>
      <c r="AE183" s="27"/>
      <c r="AF183" s="27"/>
      <c r="AG183" s="27"/>
      <c r="AH183" s="27"/>
      <c r="AI183" s="27"/>
      <c r="AJ183" s="27"/>
      <c r="AK183" s="23"/>
    </row>
    <row r="184" spans="1:37">
      <c r="A184" s="20"/>
      <c r="B184" s="20"/>
      <c r="C184" s="20"/>
      <c r="D184" s="27"/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 t="str">
        <f t="shared" si="2"/>
        <v/>
      </c>
      <c r="Q184" s="23" t="str">
        <f>_xlfn.IFNA(IF(SUM(D184:O184)=0,VLOOKUP(C184,DASHBOARD!$L$9:$M$11,2,0)*12,VLOOKUP(C184,DASHBOARD!$L$9:$M$11,2,0)*12-P184),"")</f>
        <v/>
      </c>
      <c r="U184" s="20"/>
      <c r="V184" s="20"/>
      <c r="W184" s="20"/>
      <c r="X184" s="27"/>
      <c r="Y184" s="27"/>
      <c r="Z184" s="27"/>
      <c r="AA184" s="27"/>
      <c r="AB184" s="27"/>
      <c r="AC184" s="27"/>
      <c r="AD184" s="27"/>
      <c r="AE184" s="27"/>
      <c r="AF184" s="27"/>
      <c r="AG184" s="27"/>
      <c r="AH184" s="27"/>
      <c r="AI184" s="27"/>
      <c r="AJ184" s="27"/>
      <c r="AK184" s="23"/>
    </row>
    <row r="185" spans="1:37">
      <c r="A185" s="20"/>
      <c r="B185" s="20"/>
      <c r="C185" s="20"/>
      <c r="D185" s="27"/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O185" s="27"/>
      <c r="P185" s="27" t="str">
        <f t="shared" si="2"/>
        <v/>
      </c>
      <c r="Q185" s="23" t="str">
        <f>_xlfn.IFNA(IF(SUM(D185:O185)=0,VLOOKUP(C185,DASHBOARD!$L$9:$M$11,2,0)*12,VLOOKUP(C185,DASHBOARD!$L$9:$M$11,2,0)*12-P185),"")</f>
        <v/>
      </c>
      <c r="U185" s="20"/>
      <c r="V185" s="20"/>
      <c r="W185" s="20"/>
      <c r="X185" s="27"/>
      <c r="Y185" s="27"/>
      <c r="Z185" s="27"/>
      <c r="AA185" s="27"/>
      <c r="AB185" s="27"/>
      <c r="AC185" s="27"/>
      <c r="AD185" s="27"/>
      <c r="AE185" s="27"/>
      <c r="AF185" s="27"/>
      <c r="AG185" s="27"/>
      <c r="AH185" s="27"/>
      <c r="AI185" s="27"/>
      <c r="AJ185" s="27"/>
      <c r="AK185" s="23"/>
    </row>
    <row r="186" spans="1:37">
      <c r="A186" s="20"/>
      <c r="B186" s="20"/>
      <c r="C186" s="20"/>
      <c r="D186" s="27"/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 t="str">
        <f t="shared" si="2"/>
        <v/>
      </c>
      <c r="Q186" s="23" t="str">
        <f>_xlfn.IFNA(IF(SUM(D186:O186)=0,VLOOKUP(C186,DASHBOARD!$L$9:$M$11,2,0)*12,VLOOKUP(C186,DASHBOARD!$L$9:$M$11,2,0)*12-P186),"")</f>
        <v/>
      </c>
      <c r="U186" s="20"/>
      <c r="V186" s="20"/>
      <c r="W186" s="20"/>
      <c r="X186" s="27"/>
      <c r="Y186" s="27"/>
      <c r="Z186" s="27"/>
      <c r="AA186" s="27"/>
      <c r="AB186" s="27"/>
      <c r="AC186" s="27"/>
      <c r="AD186" s="27"/>
      <c r="AE186" s="27"/>
      <c r="AF186" s="27"/>
      <c r="AG186" s="27"/>
      <c r="AH186" s="27"/>
      <c r="AI186" s="27"/>
      <c r="AJ186" s="27"/>
      <c r="AK186" s="23"/>
    </row>
    <row r="187" spans="1:37">
      <c r="A187" s="20"/>
      <c r="B187" s="20"/>
      <c r="C187" s="20"/>
      <c r="D187" s="27"/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O187" s="27"/>
      <c r="P187" s="27" t="str">
        <f t="shared" si="2"/>
        <v/>
      </c>
      <c r="Q187" s="23" t="str">
        <f>_xlfn.IFNA(IF(SUM(D187:O187)=0,VLOOKUP(C187,DASHBOARD!$L$9:$M$11,2,0)*12,VLOOKUP(C187,DASHBOARD!$L$9:$M$11,2,0)*12-P187),"")</f>
        <v/>
      </c>
      <c r="U187" s="20"/>
      <c r="V187" s="20"/>
      <c r="W187" s="20"/>
      <c r="X187" s="27"/>
      <c r="Y187" s="27"/>
      <c r="Z187" s="27"/>
      <c r="AA187" s="27"/>
      <c r="AB187" s="27"/>
      <c r="AC187" s="27"/>
      <c r="AD187" s="27"/>
      <c r="AE187" s="27"/>
      <c r="AF187" s="27"/>
      <c r="AG187" s="27"/>
      <c r="AH187" s="27"/>
      <c r="AI187" s="27"/>
      <c r="AJ187" s="27"/>
      <c r="AK187" s="23"/>
    </row>
    <row r="188" spans="1:37">
      <c r="A188" s="20"/>
      <c r="B188" s="20"/>
      <c r="C188" s="20"/>
      <c r="D188" s="27"/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 t="str">
        <f t="shared" si="2"/>
        <v/>
      </c>
      <c r="Q188" s="23" t="str">
        <f>_xlfn.IFNA(IF(SUM(D188:O188)=0,VLOOKUP(C188,DASHBOARD!$L$9:$M$11,2,0)*12,VLOOKUP(C188,DASHBOARD!$L$9:$M$11,2,0)*12-P188),"")</f>
        <v/>
      </c>
      <c r="U188" s="20"/>
      <c r="V188" s="20"/>
      <c r="W188" s="20"/>
      <c r="X188" s="27"/>
      <c r="Y188" s="27"/>
      <c r="Z188" s="27"/>
      <c r="AA188" s="27"/>
      <c r="AB188" s="27"/>
      <c r="AC188" s="27"/>
      <c r="AD188" s="27"/>
      <c r="AE188" s="27"/>
      <c r="AF188" s="27"/>
      <c r="AG188" s="27"/>
      <c r="AH188" s="27"/>
      <c r="AI188" s="27"/>
      <c r="AJ188" s="27"/>
      <c r="AK188" s="23"/>
    </row>
    <row r="189" spans="1:37">
      <c r="A189" s="20"/>
      <c r="B189" s="20"/>
      <c r="C189" s="20"/>
      <c r="D189" s="27"/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O189" s="27"/>
      <c r="P189" s="27" t="str">
        <f t="shared" si="2"/>
        <v/>
      </c>
      <c r="Q189" s="23" t="str">
        <f>_xlfn.IFNA(IF(SUM(D189:O189)=0,VLOOKUP(C189,DASHBOARD!$L$9:$M$11,2,0)*12,VLOOKUP(C189,DASHBOARD!$L$9:$M$11,2,0)*12-P189),"")</f>
        <v/>
      </c>
      <c r="U189" s="20"/>
      <c r="V189" s="20"/>
      <c r="W189" s="20"/>
      <c r="X189" s="27"/>
      <c r="Y189" s="27"/>
      <c r="Z189" s="27"/>
      <c r="AA189" s="27"/>
      <c r="AB189" s="27"/>
      <c r="AC189" s="27"/>
      <c r="AD189" s="27"/>
      <c r="AE189" s="27"/>
      <c r="AF189" s="27"/>
      <c r="AG189" s="27"/>
      <c r="AH189" s="27"/>
      <c r="AI189" s="27"/>
      <c r="AJ189" s="27"/>
      <c r="AK189" s="23"/>
    </row>
    <row r="190" spans="1:37">
      <c r="A190" s="20"/>
      <c r="B190" s="20"/>
      <c r="C190" s="20"/>
      <c r="D190" s="27"/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 t="str">
        <f t="shared" si="2"/>
        <v/>
      </c>
      <c r="Q190" s="23" t="str">
        <f>_xlfn.IFNA(IF(SUM(D190:O190)=0,VLOOKUP(C190,DASHBOARD!$L$9:$M$11,2,0)*12,VLOOKUP(C190,DASHBOARD!$L$9:$M$11,2,0)*12-P190),"")</f>
        <v/>
      </c>
      <c r="U190" s="20"/>
      <c r="V190" s="20"/>
      <c r="W190" s="20"/>
      <c r="X190" s="27"/>
      <c r="Y190" s="27"/>
      <c r="Z190" s="27"/>
      <c r="AA190" s="27"/>
      <c r="AB190" s="27"/>
      <c r="AC190" s="27"/>
      <c r="AD190" s="27"/>
      <c r="AE190" s="27"/>
      <c r="AF190" s="27"/>
      <c r="AG190" s="27"/>
      <c r="AH190" s="27"/>
      <c r="AI190" s="27"/>
      <c r="AJ190" s="27"/>
      <c r="AK190" s="23"/>
    </row>
    <row r="191" spans="1:37">
      <c r="A191" s="20"/>
      <c r="B191" s="20"/>
      <c r="C191" s="20"/>
      <c r="D191" s="27"/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O191" s="27"/>
      <c r="P191" s="27" t="str">
        <f t="shared" si="2"/>
        <v/>
      </c>
      <c r="Q191" s="23" t="str">
        <f>_xlfn.IFNA(IF(SUM(D191:O191)=0,VLOOKUP(C191,DASHBOARD!$L$9:$M$11,2,0)*12,VLOOKUP(C191,DASHBOARD!$L$9:$M$11,2,0)*12-P191),"")</f>
        <v/>
      </c>
      <c r="U191" s="20"/>
      <c r="V191" s="20"/>
      <c r="W191" s="20"/>
      <c r="X191" s="27"/>
      <c r="Y191" s="27"/>
      <c r="Z191" s="27"/>
      <c r="AA191" s="27"/>
      <c r="AB191" s="27"/>
      <c r="AC191" s="27"/>
      <c r="AD191" s="27"/>
      <c r="AE191" s="27"/>
      <c r="AF191" s="27"/>
      <c r="AG191" s="27"/>
      <c r="AH191" s="27"/>
      <c r="AI191" s="27"/>
      <c r="AJ191" s="27"/>
      <c r="AK191" s="23"/>
    </row>
    <row r="192" spans="1:37">
      <c r="A192" s="20"/>
      <c r="B192" s="20"/>
      <c r="C192" s="20"/>
      <c r="D192" s="27"/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 t="str">
        <f t="shared" si="2"/>
        <v/>
      </c>
      <c r="Q192" s="23" t="str">
        <f>_xlfn.IFNA(IF(SUM(D192:O192)=0,VLOOKUP(C192,DASHBOARD!$L$9:$M$11,2,0)*12,VLOOKUP(C192,DASHBOARD!$L$9:$M$11,2,0)*12-P192),"")</f>
        <v/>
      </c>
      <c r="U192" s="20"/>
      <c r="V192" s="20"/>
      <c r="W192" s="20"/>
      <c r="X192" s="27"/>
      <c r="Y192" s="27"/>
      <c r="Z192" s="27"/>
      <c r="AA192" s="27"/>
      <c r="AB192" s="27"/>
      <c r="AC192" s="27"/>
      <c r="AD192" s="27"/>
      <c r="AE192" s="27"/>
      <c r="AF192" s="27"/>
      <c r="AG192" s="27"/>
      <c r="AH192" s="27"/>
      <c r="AI192" s="27"/>
      <c r="AJ192" s="27"/>
      <c r="AK192" s="23"/>
    </row>
    <row r="193" spans="1:37">
      <c r="A193" s="20"/>
      <c r="B193" s="20"/>
      <c r="C193" s="20"/>
      <c r="D193" s="27"/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P193" s="27" t="str">
        <f t="shared" si="2"/>
        <v/>
      </c>
      <c r="Q193" s="23" t="str">
        <f>_xlfn.IFNA(IF(SUM(D193:O193)=0,VLOOKUP(C193,DASHBOARD!$L$9:$M$11,2,0)*12,VLOOKUP(C193,DASHBOARD!$L$9:$M$11,2,0)*12-P193),"")</f>
        <v/>
      </c>
      <c r="U193" s="20"/>
      <c r="V193" s="20"/>
      <c r="W193" s="20"/>
      <c r="X193" s="27"/>
      <c r="Y193" s="27"/>
      <c r="Z193" s="27"/>
      <c r="AA193" s="27"/>
      <c r="AB193" s="27"/>
      <c r="AC193" s="27"/>
      <c r="AD193" s="27"/>
      <c r="AE193" s="27"/>
      <c r="AF193" s="27"/>
      <c r="AG193" s="27"/>
      <c r="AH193" s="27"/>
      <c r="AI193" s="27"/>
      <c r="AJ193" s="27"/>
      <c r="AK193" s="23"/>
    </row>
    <row r="194" spans="1:37">
      <c r="A194" s="20"/>
      <c r="B194" s="20"/>
      <c r="C194" s="20"/>
      <c r="D194" s="27"/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 t="str">
        <f t="shared" si="2"/>
        <v/>
      </c>
      <c r="Q194" s="23" t="str">
        <f>_xlfn.IFNA(IF(SUM(D194:O194)=0,VLOOKUP(C194,DASHBOARD!$L$9:$M$11,2,0)*12,VLOOKUP(C194,DASHBOARD!$L$9:$M$11,2,0)*12-P194),"")</f>
        <v/>
      </c>
      <c r="U194" s="20"/>
      <c r="V194" s="20"/>
      <c r="W194" s="20"/>
      <c r="X194" s="27"/>
      <c r="Y194" s="27"/>
      <c r="Z194" s="27"/>
      <c r="AA194" s="27"/>
      <c r="AB194" s="27"/>
      <c r="AC194" s="27"/>
      <c r="AD194" s="27"/>
      <c r="AE194" s="27"/>
      <c r="AF194" s="27"/>
      <c r="AG194" s="27"/>
      <c r="AH194" s="27"/>
      <c r="AI194" s="27"/>
      <c r="AJ194" s="27"/>
      <c r="AK194" s="23"/>
    </row>
    <row r="195" spans="1:37">
      <c r="A195" s="20"/>
      <c r="B195" s="20"/>
      <c r="C195" s="20"/>
      <c r="D195" s="27"/>
      <c r="E195" s="27"/>
      <c r="F195" s="27"/>
      <c r="G195" s="27"/>
      <c r="H195" s="27"/>
      <c r="I195" s="27"/>
      <c r="J195" s="27"/>
      <c r="K195" s="27"/>
      <c r="L195" s="27"/>
      <c r="M195" s="27"/>
      <c r="N195" s="27"/>
      <c r="O195" s="27"/>
      <c r="P195" s="27" t="str">
        <f t="shared" si="2"/>
        <v/>
      </c>
      <c r="Q195" s="23" t="str">
        <f>_xlfn.IFNA(IF(SUM(D195:O195)=0,VLOOKUP(C195,DASHBOARD!$L$9:$M$11,2,0)*12,VLOOKUP(C195,DASHBOARD!$L$9:$M$11,2,0)*12-P195),"")</f>
        <v/>
      </c>
      <c r="U195" s="20"/>
      <c r="V195" s="20"/>
      <c r="W195" s="20"/>
      <c r="X195" s="27"/>
      <c r="Y195" s="27"/>
      <c r="Z195" s="27"/>
      <c r="AA195" s="27"/>
      <c r="AB195" s="27"/>
      <c r="AC195" s="27"/>
      <c r="AD195" s="27"/>
      <c r="AE195" s="27"/>
      <c r="AF195" s="27"/>
      <c r="AG195" s="27"/>
      <c r="AH195" s="27"/>
      <c r="AI195" s="27"/>
      <c r="AJ195" s="27"/>
      <c r="AK195" s="23"/>
    </row>
    <row r="196" spans="1:37">
      <c r="A196" s="20"/>
      <c r="B196" s="20"/>
      <c r="C196" s="20"/>
      <c r="D196" s="27"/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 t="str">
        <f t="shared" si="2"/>
        <v/>
      </c>
      <c r="Q196" s="23" t="str">
        <f>_xlfn.IFNA(IF(SUM(D196:O196)=0,VLOOKUP(C196,DASHBOARD!$L$9:$M$11,2,0)*12,VLOOKUP(C196,DASHBOARD!$L$9:$M$11,2,0)*12-P196),"")</f>
        <v/>
      </c>
      <c r="U196" s="20"/>
      <c r="V196" s="20"/>
      <c r="W196" s="20"/>
      <c r="X196" s="27"/>
      <c r="Y196" s="27"/>
      <c r="Z196" s="27"/>
      <c r="AA196" s="27"/>
      <c r="AB196" s="27"/>
      <c r="AC196" s="27"/>
      <c r="AD196" s="27"/>
      <c r="AE196" s="27"/>
      <c r="AF196" s="27"/>
      <c r="AG196" s="27"/>
      <c r="AH196" s="27"/>
      <c r="AI196" s="27"/>
      <c r="AJ196" s="27"/>
      <c r="AK196" s="23"/>
    </row>
    <row r="197" spans="1:37">
      <c r="A197" s="20"/>
      <c r="B197" s="20"/>
      <c r="C197" s="20"/>
      <c r="D197" s="27"/>
      <c r="E197" s="27"/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P197" s="27" t="str">
        <f t="shared" ref="P197:P260" si="3">IF(SUM(D197:O197)=0,"",SUM(D197:O197))</f>
        <v/>
      </c>
      <c r="Q197" s="23" t="str">
        <f>_xlfn.IFNA(IF(SUM(D197:O197)=0,VLOOKUP(C197,DASHBOARD!$L$9:$M$11,2,0)*12,VLOOKUP(C197,DASHBOARD!$L$9:$M$11,2,0)*12-P197),"")</f>
        <v/>
      </c>
      <c r="U197" s="20"/>
      <c r="V197" s="20"/>
      <c r="W197" s="20"/>
      <c r="X197" s="27"/>
      <c r="Y197" s="27"/>
      <c r="Z197" s="27"/>
      <c r="AA197" s="27"/>
      <c r="AB197" s="27"/>
      <c r="AC197" s="27"/>
      <c r="AD197" s="27"/>
      <c r="AE197" s="27"/>
      <c r="AF197" s="27"/>
      <c r="AG197" s="27"/>
      <c r="AH197" s="27"/>
      <c r="AI197" s="27"/>
      <c r="AJ197" s="27"/>
      <c r="AK197" s="23"/>
    </row>
    <row r="198" spans="1:37">
      <c r="A198" s="20"/>
      <c r="B198" s="20"/>
      <c r="C198" s="20"/>
      <c r="D198" s="27"/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 t="str">
        <f t="shared" si="3"/>
        <v/>
      </c>
      <c r="Q198" s="23" t="str">
        <f>_xlfn.IFNA(IF(SUM(D198:O198)=0,VLOOKUP(C198,DASHBOARD!$L$9:$M$11,2,0)*12,VLOOKUP(C198,DASHBOARD!$L$9:$M$11,2,0)*12-P198),"")</f>
        <v/>
      </c>
      <c r="U198" s="20"/>
      <c r="V198" s="20"/>
      <c r="W198" s="20"/>
      <c r="X198" s="27"/>
      <c r="Y198" s="27"/>
      <c r="Z198" s="27"/>
      <c r="AA198" s="27"/>
      <c r="AB198" s="27"/>
      <c r="AC198" s="27"/>
      <c r="AD198" s="27"/>
      <c r="AE198" s="27"/>
      <c r="AF198" s="27"/>
      <c r="AG198" s="27"/>
      <c r="AH198" s="27"/>
      <c r="AI198" s="27"/>
      <c r="AJ198" s="27"/>
      <c r="AK198" s="23"/>
    </row>
    <row r="199" spans="1:37">
      <c r="A199" s="20"/>
      <c r="B199" s="20"/>
      <c r="C199" s="20"/>
      <c r="D199" s="27"/>
      <c r="E199" s="27"/>
      <c r="F199" s="27"/>
      <c r="G199" s="27"/>
      <c r="H199" s="27"/>
      <c r="I199" s="27"/>
      <c r="J199" s="27"/>
      <c r="K199" s="27"/>
      <c r="L199" s="27"/>
      <c r="M199" s="27"/>
      <c r="N199" s="27"/>
      <c r="O199" s="27"/>
      <c r="P199" s="27" t="str">
        <f t="shared" si="3"/>
        <v/>
      </c>
      <c r="Q199" s="23" t="str">
        <f>_xlfn.IFNA(IF(SUM(D199:O199)=0,VLOOKUP(C199,DASHBOARD!$L$9:$M$11,2,0)*12,VLOOKUP(C199,DASHBOARD!$L$9:$M$11,2,0)*12-P199),"")</f>
        <v/>
      </c>
      <c r="U199" s="20"/>
      <c r="V199" s="20"/>
      <c r="W199" s="20"/>
      <c r="X199" s="27"/>
      <c r="Y199" s="27"/>
      <c r="Z199" s="27"/>
      <c r="AA199" s="27"/>
      <c r="AB199" s="27"/>
      <c r="AC199" s="27"/>
      <c r="AD199" s="27"/>
      <c r="AE199" s="27"/>
      <c r="AF199" s="27"/>
      <c r="AG199" s="27"/>
      <c r="AH199" s="27"/>
      <c r="AI199" s="27"/>
      <c r="AJ199" s="27"/>
      <c r="AK199" s="23"/>
    </row>
    <row r="200" spans="1:37">
      <c r="A200" s="20"/>
      <c r="B200" s="20"/>
      <c r="C200" s="20"/>
      <c r="D200" s="27"/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 t="str">
        <f t="shared" si="3"/>
        <v/>
      </c>
      <c r="Q200" s="23" t="str">
        <f>_xlfn.IFNA(IF(SUM(D200:O200)=0,VLOOKUP(C200,DASHBOARD!$L$9:$M$11,2,0)*12,VLOOKUP(C200,DASHBOARD!$L$9:$M$11,2,0)*12-P200),"")</f>
        <v/>
      </c>
      <c r="U200" s="20"/>
      <c r="V200" s="20"/>
      <c r="W200" s="20"/>
      <c r="X200" s="27"/>
      <c r="Y200" s="27"/>
      <c r="Z200" s="27"/>
      <c r="AA200" s="27"/>
      <c r="AB200" s="27"/>
      <c r="AC200" s="27"/>
      <c r="AD200" s="27"/>
      <c r="AE200" s="27"/>
      <c r="AF200" s="27"/>
      <c r="AG200" s="27"/>
      <c r="AH200" s="27"/>
      <c r="AI200" s="27"/>
      <c r="AJ200" s="27"/>
      <c r="AK200" s="23"/>
    </row>
    <row r="201" spans="1:37">
      <c r="A201" s="20"/>
      <c r="B201" s="20"/>
      <c r="C201" s="20"/>
      <c r="D201" s="27"/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  <c r="P201" s="27" t="str">
        <f t="shared" si="3"/>
        <v/>
      </c>
      <c r="Q201" s="23" t="str">
        <f>_xlfn.IFNA(IF(SUM(D201:O201)=0,VLOOKUP(C201,DASHBOARD!$L$9:$M$11,2,0)*12,VLOOKUP(C201,DASHBOARD!$L$9:$M$11,2,0)*12-P201),"")</f>
        <v/>
      </c>
      <c r="U201" s="20"/>
      <c r="V201" s="20"/>
      <c r="W201" s="20"/>
      <c r="X201" s="27"/>
      <c r="Y201" s="27"/>
      <c r="Z201" s="27"/>
      <c r="AA201" s="27"/>
      <c r="AB201" s="27"/>
      <c r="AC201" s="27"/>
      <c r="AD201" s="27"/>
      <c r="AE201" s="27"/>
      <c r="AF201" s="27"/>
      <c r="AG201" s="27"/>
      <c r="AH201" s="27"/>
      <c r="AI201" s="27"/>
      <c r="AJ201" s="27"/>
      <c r="AK201" s="23"/>
    </row>
    <row r="202" spans="1:37">
      <c r="A202" s="20"/>
      <c r="B202" s="20"/>
      <c r="C202" s="20"/>
      <c r="D202" s="27"/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 t="str">
        <f t="shared" si="3"/>
        <v/>
      </c>
      <c r="Q202" s="23" t="str">
        <f>_xlfn.IFNA(IF(SUM(D202:O202)=0,VLOOKUP(C202,DASHBOARD!$L$9:$M$11,2,0)*12,VLOOKUP(C202,DASHBOARD!$L$9:$M$11,2,0)*12-P202),"")</f>
        <v/>
      </c>
      <c r="U202" s="20"/>
      <c r="V202" s="20"/>
      <c r="W202" s="20"/>
      <c r="X202" s="27"/>
      <c r="Y202" s="27"/>
      <c r="Z202" s="27"/>
      <c r="AA202" s="27"/>
      <c r="AB202" s="27"/>
      <c r="AC202" s="27"/>
      <c r="AD202" s="27"/>
      <c r="AE202" s="27"/>
      <c r="AF202" s="27"/>
      <c r="AG202" s="27"/>
      <c r="AH202" s="27"/>
      <c r="AI202" s="27"/>
      <c r="AJ202" s="27"/>
      <c r="AK202" s="23"/>
    </row>
    <row r="203" spans="1:37">
      <c r="A203" s="20"/>
      <c r="B203" s="20"/>
      <c r="C203" s="20"/>
      <c r="D203" s="27"/>
      <c r="E203" s="27"/>
      <c r="F203" s="27"/>
      <c r="G203" s="27"/>
      <c r="H203" s="27"/>
      <c r="I203" s="27"/>
      <c r="J203" s="27"/>
      <c r="K203" s="27"/>
      <c r="L203" s="27"/>
      <c r="M203" s="27"/>
      <c r="N203" s="27"/>
      <c r="O203" s="27"/>
      <c r="P203" s="27" t="str">
        <f t="shared" si="3"/>
        <v/>
      </c>
      <c r="Q203" s="23" t="str">
        <f>_xlfn.IFNA(IF(SUM(D203:O203)=0,VLOOKUP(C203,DASHBOARD!$L$9:$M$11,2,0)*12,VLOOKUP(C203,DASHBOARD!$L$9:$M$11,2,0)*12-P203),"")</f>
        <v/>
      </c>
      <c r="U203" s="20"/>
      <c r="V203" s="20"/>
      <c r="W203" s="20"/>
      <c r="X203" s="27"/>
      <c r="Y203" s="27"/>
      <c r="Z203" s="27"/>
      <c r="AA203" s="27"/>
      <c r="AB203" s="27"/>
      <c r="AC203" s="27"/>
      <c r="AD203" s="27"/>
      <c r="AE203" s="27"/>
      <c r="AF203" s="27"/>
      <c r="AG203" s="27"/>
      <c r="AH203" s="27"/>
      <c r="AI203" s="27"/>
      <c r="AJ203" s="27"/>
      <c r="AK203" s="23"/>
    </row>
    <row r="204" spans="1:37">
      <c r="A204" s="20"/>
      <c r="B204" s="20"/>
      <c r="C204" s="20"/>
      <c r="D204" s="27"/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 t="str">
        <f t="shared" si="3"/>
        <v/>
      </c>
      <c r="Q204" s="23" t="str">
        <f>_xlfn.IFNA(IF(SUM(D204:O204)=0,VLOOKUP(C204,DASHBOARD!$L$9:$M$11,2,0)*12,VLOOKUP(C204,DASHBOARD!$L$9:$M$11,2,0)*12-P204),"")</f>
        <v/>
      </c>
      <c r="U204" s="20"/>
      <c r="V204" s="20"/>
      <c r="W204" s="20"/>
      <c r="X204" s="27"/>
      <c r="Y204" s="27"/>
      <c r="Z204" s="27"/>
      <c r="AA204" s="27"/>
      <c r="AB204" s="27"/>
      <c r="AC204" s="27"/>
      <c r="AD204" s="27"/>
      <c r="AE204" s="27"/>
      <c r="AF204" s="27"/>
      <c r="AG204" s="27"/>
      <c r="AH204" s="27"/>
      <c r="AI204" s="27"/>
      <c r="AJ204" s="27"/>
      <c r="AK204" s="23"/>
    </row>
    <row r="205" spans="1:37">
      <c r="A205" s="20"/>
      <c r="B205" s="20"/>
      <c r="C205" s="20"/>
      <c r="D205" s="27"/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27" t="str">
        <f t="shared" si="3"/>
        <v/>
      </c>
      <c r="Q205" s="23" t="str">
        <f>_xlfn.IFNA(IF(SUM(D205:O205)=0,VLOOKUP(C205,DASHBOARD!$L$9:$M$11,2,0)*12,VLOOKUP(C205,DASHBOARD!$L$9:$M$11,2,0)*12-P205),"")</f>
        <v/>
      </c>
      <c r="U205" s="20"/>
      <c r="V205" s="20"/>
      <c r="W205" s="20"/>
      <c r="X205" s="27"/>
      <c r="Y205" s="27"/>
      <c r="Z205" s="27"/>
      <c r="AA205" s="27"/>
      <c r="AB205" s="27"/>
      <c r="AC205" s="27"/>
      <c r="AD205" s="27"/>
      <c r="AE205" s="27"/>
      <c r="AF205" s="27"/>
      <c r="AG205" s="27"/>
      <c r="AH205" s="27"/>
      <c r="AI205" s="27"/>
      <c r="AJ205" s="27"/>
      <c r="AK205" s="23"/>
    </row>
    <row r="206" spans="1:37">
      <c r="A206" s="20"/>
      <c r="B206" s="20"/>
      <c r="C206" s="20"/>
      <c r="D206" s="27"/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 t="str">
        <f t="shared" si="3"/>
        <v/>
      </c>
      <c r="Q206" s="23" t="str">
        <f>_xlfn.IFNA(IF(SUM(D206:O206)=0,VLOOKUP(C206,DASHBOARD!$L$9:$M$11,2,0)*12,VLOOKUP(C206,DASHBOARD!$L$9:$M$11,2,0)*12-P206),"")</f>
        <v/>
      </c>
      <c r="U206" s="20"/>
      <c r="V206" s="20"/>
      <c r="W206" s="20"/>
      <c r="X206" s="27"/>
      <c r="Y206" s="27"/>
      <c r="Z206" s="27"/>
      <c r="AA206" s="27"/>
      <c r="AB206" s="27"/>
      <c r="AC206" s="27"/>
      <c r="AD206" s="27"/>
      <c r="AE206" s="27"/>
      <c r="AF206" s="27"/>
      <c r="AG206" s="27"/>
      <c r="AH206" s="27"/>
      <c r="AI206" s="27"/>
      <c r="AJ206" s="27"/>
      <c r="AK206" s="23"/>
    </row>
    <row r="207" spans="1:37">
      <c r="A207" s="20"/>
      <c r="B207" s="20"/>
      <c r="C207" s="20"/>
      <c r="D207" s="27"/>
      <c r="E207" s="27"/>
      <c r="F207" s="27"/>
      <c r="G207" s="27"/>
      <c r="H207" s="27"/>
      <c r="I207" s="27"/>
      <c r="J207" s="27"/>
      <c r="K207" s="27"/>
      <c r="L207" s="27"/>
      <c r="M207" s="27"/>
      <c r="N207" s="27"/>
      <c r="O207" s="27"/>
      <c r="P207" s="27" t="str">
        <f t="shared" si="3"/>
        <v/>
      </c>
      <c r="Q207" s="23" t="str">
        <f>_xlfn.IFNA(IF(SUM(D207:O207)=0,VLOOKUP(C207,DASHBOARD!$L$9:$M$11,2,0)*12,VLOOKUP(C207,DASHBOARD!$L$9:$M$11,2,0)*12-P207),"")</f>
        <v/>
      </c>
      <c r="U207" s="20"/>
      <c r="V207" s="20"/>
      <c r="W207" s="20"/>
      <c r="X207" s="27"/>
      <c r="Y207" s="27"/>
      <c r="Z207" s="27"/>
      <c r="AA207" s="27"/>
      <c r="AB207" s="27"/>
      <c r="AC207" s="27"/>
      <c r="AD207" s="27"/>
      <c r="AE207" s="27"/>
      <c r="AF207" s="27"/>
      <c r="AG207" s="27"/>
      <c r="AH207" s="27"/>
      <c r="AI207" s="27"/>
      <c r="AJ207" s="27"/>
      <c r="AK207" s="23"/>
    </row>
    <row r="208" spans="1:37">
      <c r="A208" s="20"/>
      <c r="B208" s="20"/>
      <c r="C208" s="20"/>
      <c r="D208" s="27"/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 t="str">
        <f t="shared" si="3"/>
        <v/>
      </c>
      <c r="Q208" s="23" t="str">
        <f>_xlfn.IFNA(IF(SUM(D208:O208)=0,VLOOKUP(C208,DASHBOARD!$L$9:$M$11,2,0)*12,VLOOKUP(C208,DASHBOARD!$L$9:$M$11,2,0)*12-P208),"")</f>
        <v/>
      </c>
      <c r="U208" s="20"/>
      <c r="V208" s="20"/>
      <c r="W208" s="20"/>
      <c r="X208" s="27"/>
      <c r="Y208" s="27"/>
      <c r="Z208" s="27"/>
      <c r="AA208" s="27"/>
      <c r="AB208" s="27"/>
      <c r="AC208" s="27"/>
      <c r="AD208" s="27"/>
      <c r="AE208" s="27"/>
      <c r="AF208" s="27"/>
      <c r="AG208" s="27"/>
      <c r="AH208" s="27"/>
      <c r="AI208" s="27"/>
      <c r="AJ208" s="27"/>
      <c r="AK208" s="23"/>
    </row>
    <row r="209" spans="1:37">
      <c r="A209" s="20"/>
      <c r="B209" s="20"/>
      <c r="C209" s="20"/>
      <c r="D209" s="27"/>
      <c r="E209" s="27"/>
      <c r="F209" s="27"/>
      <c r="G209" s="27"/>
      <c r="H209" s="27"/>
      <c r="I209" s="27"/>
      <c r="J209" s="27"/>
      <c r="K209" s="27"/>
      <c r="L209" s="27"/>
      <c r="M209" s="27"/>
      <c r="N209" s="27"/>
      <c r="O209" s="27"/>
      <c r="P209" s="27" t="str">
        <f t="shared" si="3"/>
        <v/>
      </c>
      <c r="Q209" s="23" t="str">
        <f>_xlfn.IFNA(IF(SUM(D209:O209)=0,VLOOKUP(C209,DASHBOARD!$L$9:$M$11,2,0)*12,VLOOKUP(C209,DASHBOARD!$L$9:$M$11,2,0)*12-P209),"")</f>
        <v/>
      </c>
      <c r="U209" s="20"/>
      <c r="V209" s="20"/>
      <c r="W209" s="20"/>
      <c r="X209" s="27"/>
      <c r="Y209" s="27"/>
      <c r="Z209" s="27"/>
      <c r="AA209" s="27"/>
      <c r="AB209" s="27"/>
      <c r="AC209" s="27"/>
      <c r="AD209" s="27"/>
      <c r="AE209" s="27"/>
      <c r="AF209" s="27"/>
      <c r="AG209" s="27"/>
      <c r="AH209" s="27"/>
      <c r="AI209" s="27"/>
      <c r="AJ209" s="27"/>
      <c r="AK209" s="23"/>
    </row>
    <row r="210" spans="1:37">
      <c r="A210" s="20"/>
      <c r="B210" s="20"/>
      <c r="C210" s="20"/>
      <c r="D210" s="27"/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 t="str">
        <f t="shared" si="3"/>
        <v/>
      </c>
      <c r="Q210" s="23" t="str">
        <f>_xlfn.IFNA(IF(SUM(D210:O210)=0,VLOOKUP(C210,DASHBOARD!$L$9:$M$11,2,0)*12,VLOOKUP(C210,DASHBOARD!$L$9:$M$11,2,0)*12-P210),"")</f>
        <v/>
      </c>
      <c r="U210" s="20"/>
      <c r="V210" s="20"/>
      <c r="W210" s="20"/>
      <c r="X210" s="27"/>
      <c r="Y210" s="27"/>
      <c r="Z210" s="27"/>
      <c r="AA210" s="27"/>
      <c r="AB210" s="27"/>
      <c r="AC210" s="27"/>
      <c r="AD210" s="27"/>
      <c r="AE210" s="27"/>
      <c r="AF210" s="27"/>
      <c r="AG210" s="27"/>
      <c r="AH210" s="27"/>
      <c r="AI210" s="27"/>
      <c r="AJ210" s="27"/>
      <c r="AK210" s="23"/>
    </row>
    <row r="211" spans="1:37">
      <c r="A211" s="20"/>
      <c r="B211" s="20"/>
      <c r="C211" s="20"/>
      <c r="D211" s="27"/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P211" s="27" t="str">
        <f t="shared" si="3"/>
        <v/>
      </c>
      <c r="Q211" s="23" t="str">
        <f>_xlfn.IFNA(IF(SUM(D211:O211)=0,VLOOKUP(C211,DASHBOARD!$L$9:$M$11,2,0)*12,VLOOKUP(C211,DASHBOARD!$L$9:$M$11,2,0)*12-P211),"")</f>
        <v/>
      </c>
      <c r="U211" s="20"/>
      <c r="V211" s="20"/>
      <c r="W211" s="20"/>
      <c r="X211" s="27"/>
      <c r="Y211" s="27"/>
      <c r="Z211" s="27"/>
      <c r="AA211" s="27"/>
      <c r="AB211" s="27"/>
      <c r="AC211" s="27"/>
      <c r="AD211" s="27"/>
      <c r="AE211" s="27"/>
      <c r="AF211" s="27"/>
      <c r="AG211" s="27"/>
      <c r="AH211" s="27"/>
      <c r="AI211" s="27"/>
      <c r="AJ211" s="27"/>
      <c r="AK211" s="23"/>
    </row>
    <row r="212" spans="1:37">
      <c r="A212" s="20"/>
      <c r="B212" s="20"/>
      <c r="C212" s="20"/>
      <c r="D212" s="27"/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 t="str">
        <f t="shared" si="3"/>
        <v/>
      </c>
      <c r="Q212" s="23" t="str">
        <f>_xlfn.IFNA(IF(SUM(D212:O212)=0,VLOOKUP(C212,DASHBOARD!$L$9:$M$11,2,0)*12,VLOOKUP(C212,DASHBOARD!$L$9:$M$11,2,0)*12-P212),"")</f>
        <v/>
      </c>
      <c r="U212" s="20"/>
      <c r="V212" s="20"/>
      <c r="W212" s="20"/>
      <c r="X212" s="27"/>
      <c r="Y212" s="27"/>
      <c r="Z212" s="27"/>
      <c r="AA212" s="27"/>
      <c r="AB212" s="27"/>
      <c r="AC212" s="27"/>
      <c r="AD212" s="27"/>
      <c r="AE212" s="27"/>
      <c r="AF212" s="27"/>
      <c r="AG212" s="27"/>
      <c r="AH212" s="27"/>
      <c r="AI212" s="27"/>
      <c r="AJ212" s="27"/>
      <c r="AK212" s="23"/>
    </row>
    <row r="213" spans="1:37">
      <c r="A213" s="20"/>
      <c r="B213" s="20"/>
      <c r="C213" s="20"/>
      <c r="D213" s="27"/>
      <c r="E213" s="27"/>
      <c r="F213" s="27"/>
      <c r="G213" s="27"/>
      <c r="H213" s="27"/>
      <c r="I213" s="27"/>
      <c r="J213" s="27"/>
      <c r="K213" s="27"/>
      <c r="L213" s="27"/>
      <c r="M213" s="27"/>
      <c r="N213" s="27"/>
      <c r="O213" s="27"/>
      <c r="P213" s="27" t="str">
        <f t="shared" si="3"/>
        <v/>
      </c>
      <c r="Q213" s="23" t="str">
        <f>_xlfn.IFNA(IF(SUM(D213:O213)=0,VLOOKUP(C213,DASHBOARD!$L$9:$M$11,2,0)*12,VLOOKUP(C213,DASHBOARD!$L$9:$M$11,2,0)*12-P213),"")</f>
        <v/>
      </c>
      <c r="U213" s="20"/>
      <c r="V213" s="20"/>
      <c r="W213" s="20"/>
      <c r="X213" s="27"/>
      <c r="Y213" s="27"/>
      <c r="Z213" s="27"/>
      <c r="AA213" s="27"/>
      <c r="AB213" s="27"/>
      <c r="AC213" s="27"/>
      <c r="AD213" s="27"/>
      <c r="AE213" s="27"/>
      <c r="AF213" s="27"/>
      <c r="AG213" s="27"/>
      <c r="AH213" s="27"/>
      <c r="AI213" s="27"/>
      <c r="AJ213" s="27"/>
      <c r="AK213" s="23"/>
    </row>
    <row r="214" spans="1:37">
      <c r="A214" s="20"/>
      <c r="B214" s="20"/>
      <c r="C214" s="20"/>
      <c r="D214" s="27"/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 t="str">
        <f t="shared" si="3"/>
        <v/>
      </c>
      <c r="Q214" s="23" t="str">
        <f>_xlfn.IFNA(IF(SUM(D214:O214)=0,VLOOKUP(C214,DASHBOARD!$L$9:$M$11,2,0)*12,VLOOKUP(C214,DASHBOARD!$L$9:$M$11,2,0)*12-P214),"")</f>
        <v/>
      </c>
      <c r="U214" s="20"/>
      <c r="V214" s="20"/>
      <c r="W214" s="20"/>
      <c r="X214" s="27"/>
      <c r="Y214" s="27"/>
      <c r="Z214" s="27"/>
      <c r="AA214" s="27"/>
      <c r="AB214" s="27"/>
      <c r="AC214" s="27"/>
      <c r="AD214" s="27"/>
      <c r="AE214" s="27"/>
      <c r="AF214" s="27"/>
      <c r="AG214" s="27"/>
      <c r="AH214" s="27"/>
      <c r="AI214" s="27"/>
      <c r="AJ214" s="27"/>
      <c r="AK214" s="23"/>
    </row>
    <row r="215" spans="1:37">
      <c r="A215" s="20"/>
      <c r="B215" s="20"/>
      <c r="C215" s="20"/>
      <c r="D215" s="27"/>
      <c r="E215" s="27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27" t="str">
        <f t="shared" si="3"/>
        <v/>
      </c>
      <c r="Q215" s="23" t="str">
        <f>_xlfn.IFNA(IF(SUM(D215:O215)=0,VLOOKUP(C215,DASHBOARD!$L$9:$M$11,2,0)*12,VLOOKUP(C215,DASHBOARD!$L$9:$M$11,2,0)*12-P215),"")</f>
        <v/>
      </c>
      <c r="U215" s="20"/>
      <c r="V215" s="20"/>
      <c r="W215" s="20"/>
      <c r="X215" s="27"/>
      <c r="Y215" s="27"/>
      <c r="Z215" s="27"/>
      <c r="AA215" s="27"/>
      <c r="AB215" s="27"/>
      <c r="AC215" s="27"/>
      <c r="AD215" s="27"/>
      <c r="AE215" s="27"/>
      <c r="AF215" s="27"/>
      <c r="AG215" s="27"/>
      <c r="AH215" s="27"/>
      <c r="AI215" s="27"/>
      <c r="AJ215" s="27"/>
      <c r="AK215" s="23"/>
    </row>
    <row r="216" spans="1:37">
      <c r="A216" s="20"/>
      <c r="B216" s="20"/>
      <c r="C216" s="20"/>
      <c r="D216" s="27"/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 t="str">
        <f t="shared" si="3"/>
        <v/>
      </c>
      <c r="Q216" s="23" t="str">
        <f>_xlfn.IFNA(IF(SUM(D216:O216)=0,VLOOKUP(C216,DASHBOARD!$L$9:$M$11,2,0)*12,VLOOKUP(C216,DASHBOARD!$L$9:$M$11,2,0)*12-P216),"")</f>
        <v/>
      </c>
      <c r="U216" s="20"/>
      <c r="V216" s="20"/>
      <c r="W216" s="20"/>
      <c r="X216" s="27"/>
      <c r="Y216" s="27"/>
      <c r="Z216" s="27"/>
      <c r="AA216" s="27"/>
      <c r="AB216" s="27"/>
      <c r="AC216" s="27"/>
      <c r="AD216" s="27"/>
      <c r="AE216" s="27"/>
      <c r="AF216" s="27"/>
      <c r="AG216" s="27"/>
      <c r="AH216" s="27"/>
      <c r="AI216" s="27"/>
      <c r="AJ216" s="27"/>
      <c r="AK216" s="23"/>
    </row>
    <row r="217" spans="1:37">
      <c r="A217" s="20"/>
      <c r="B217" s="20"/>
      <c r="C217" s="20"/>
      <c r="D217" s="27"/>
      <c r="E217" s="27"/>
      <c r="F217" s="27"/>
      <c r="G217" s="27"/>
      <c r="H217" s="27"/>
      <c r="I217" s="27"/>
      <c r="J217" s="27"/>
      <c r="K217" s="27"/>
      <c r="L217" s="27"/>
      <c r="M217" s="27"/>
      <c r="N217" s="27"/>
      <c r="O217" s="27"/>
      <c r="P217" s="27" t="str">
        <f t="shared" si="3"/>
        <v/>
      </c>
      <c r="Q217" s="23" t="str">
        <f>_xlfn.IFNA(IF(SUM(D217:O217)=0,VLOOKUP(C217,DASHBOARD!$L$9:$M$11,2,0)*12,VLOOKUP(C217,DASHBOARD!$L$9:$M$11,2,0)*12-P217),"")</f>
        <v/>
      </c>
      <c r="U217" s="20"/>
      <c r="V217" s="20"/>
      <c r="W217" s="20"/>
      <c r="X217" s="27"/>
      <c r="Y217" s="27"/>
      <c r="Z217" s="27"/>
      <c r="AA217" s="27"/>
      <c r="AB217" s="27"/>
      <c r="AC217" s="27"/>
      <c r="AD217" s="27"/>
      <c r="AE217" s="27"/>
      <c r="AF217" s="27"/>
      <c r="AG217" s="27"/>
      <c r="AH217" s="27"/>
      <c r="AI217" s="27"/>
      <c r="AJ217" s="27"/>
      <c r="AK217" s="23"/>
    </row>
    <row r="218" spans="1:37">
      <c r="A218" s="20"/>
      <c r="B218" s="20"/>
      <c r="C218" s="20"/>
      <c r="D218" s="27"/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 t="str">
        <f t="shared" si="3"/>
        <v/>
      </c>
      <c r="Q218" s="23" t="str">
        <f>_xlfn.IFNA(IF(SUM(D218:O218)=0,VLOOKUP(C218,DASHBOARD!$L$9:$M$11,2,0)*12,VLOOKUP(C218,DASHBOARD!$L$9:$M$11,2,0)*12-P218),"")</f>
        <v/>
      </c>
      <c r="U218" s="20"/>
      <c r="V218" s="20"/>
      <c r="W218" s="20"/>
      <c r="X218" s="27"/>
      <c r="Y218" s="27"/>
      <c r="Z218" s="27"/>
      <c r="AA218" s="27"/>
      <c r="AB218" s="27"/>
      <c r="AC218" s="27"/>
      <c r="AD218" s="27"/>
      <c r="AE218" s="27"/>
      <c r="AF218" s="27"/>
      <c r="AG218" s="27"/>
      <c r="AH218" s="27"/>
      <c r="AI218" s="27"/>
      <c r="AJ218" s="27"/>
      <c r="AK218" s="23"/>
    </row>
    <row r="219" spans="1:37">
      <c r="A219" s="20"/>
      <c r="B219" s="20"/>
      <c r="C219" s="20"/>
      <c r="D219" s="27"/>
      <c r="E219" s="27"/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P219" s="27" t="str">
        <f t="shared" si="3"/>
        <v/>
      </c>
      <c r="Q219" s="23" t="str">
        <f>_xlfn.IFNA(IF(SUM(D219:O219)=0,VLOOKUP(C219,DASHBOARD!$L$9:$M$11,2,0)*12,VLOOKUP(C219,DASHBOARD!$L$9:$M$11,2,0)*12-P219),"")</f>
        <v/>
      </c>
      <c r="U219" s="20"/>
      <c r="V219" s="20"/>
      <c r="W219" s="20"/>
      <c r="X219" s="27"/>
      <c r="Y219" s="27"/>
      <c r="Z219" s="27"/>
      <c r="AA219" s="27"/>
      <c r="AB219" s="27"/>
      <c r="AC219" s="27"/>
      <c r="AD219" s="27"/>
      <c r="AE219" s="27"/>
      <c r="AF219" s="27"/>
      <c r="AG219" s="27"/>
      <c r="AH219" s="27"/>
      <c r="AI219" s="27"/>
      <c r="AJ219" s="27"/>
      <c r="AK219" s="23"/>
    </row>
    <row r="220" spans="1:37">
      <c r="A220" s="20"/>
      <c r="B220" s="20"/>
      <c r="C220" s="20"/>
      <c r="D220" s="27"/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 t="str">
        <f t="shared" si="3"/>
        <v/>
      </c>
      <c r="Q220" s="23" t="str">
        <f>_xlfn.IFNA(IF(SUM(D220:O220)=0,VLOOKUP(C220,DASHBOARD!$L$9:$M$11,2,0)*12,VLOOKUP(C220,DASHBOARD!$L$9:$M$11,2,0)*12-P220),"")</f>
        <v/>
      </c>
      <c r="U220" s="20"/>
      <c r="V220" s="20"/>
      <c r="W220" s="20"/>
      <c r="X220" s="27"/>
      <c r="Y220" s="27"/>
      <c r="Z220" s="27"/>
      <c r="AA220" s="27"/>
      <c r="AB220" s="27"/>
      <c r="AC220" s="27"/>
      <c r="AD220" s="27"/>
      <c r="AE220" s="27"/>
      <c r="AF220" s="27"/>
      <c r="AG220" s="27"/>
      <c r="AH220" s="27"/>
      <c r="AI220" s="27"/>
      <c r="AJ220" s="27"/>
      <c r="AK220" s="23"/>
    </row>
    <row r="221" spans="1:37">
      <c r="A221" s="20"/>
      <c r="B221" s="20"/>
      <c r="C221" s="20"/>
      <c r="D221" s="27"/>
      <c r="E221" s="27"/>
      <c r="F221" s="27"/>
      <c r="G221" s="27"/>
      <c r="H221" s="27"/>
      <c r="I221" s="27"/>
      <c r="J221" s="27"/>
      <c r="K221" s="27"/>
      <c r="L221" s="27"/>
      <c r="M221" s="27"/>
      <c r="N221" s="27"/>
      <c r="O221" s="27"/>
      <c r="P221" s="27" t="str">
        <f t="shared" si="3"/>
        <v/>
      </c>
      <c r="Q221" s="23" t="str">
        <f>_xlfn.IFNA(IF(SUM(D221:O221)=0,VLOOKUP(C221,DASHBOARD!$L$9:$M$11,2,0)*12,VLOOKUP(C221,DASHBOARD!$L$9:$M$11,2,0)*12-P221),"")</f>
        <v/>
      </c>
      <c r="U221" s="20"/>
      <c r="V221" s="20"/>
      <c r="W221" s="20"/>
      <c r="X221" s="27"/>
      <c r="Y221" s="27"/>
      <c r="Z221" s="27"/>
      <c r="AA221" s="27"/>
      <c r="AB221" s="27"/>
      <c r="AC221" s="27"/>
      <c r="AD221" s="27"/>
      <c r="AE221" s="27"/>
      <c r="AF221" s="27"/>
      <c r="AG221" s="27"/>
      <c r="AH221" s="27"/>
      <c r="AI221" s="27"/>
      <c r="AJ221" s="27"/>
      <c r="AK221" s="23"/>
    </row>
    <row r="222" spans="1:37">
      <c r="A222" s="20"/>
      <c r="B222" s="20"/>
      <c r="C222" s="20"/>
      <c r="D222" s="27"/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 t="str">
        <f t="shared" si="3"/>
        <v/>
      </c>
      <c r="Q222" s="23" t="str">
        <f>_xlfn.IFNA(IF(SUM(D222:O222)=0,VLOOKUP(C222,DASHBOARD!$L$9:$M$11,2,0)*12,VLOOKUP(C222,DASHBOARD!$L$9:$M$11,2,0)*12-P222),"")</f>
        <v/>
      </c>
      <c r="U222" s="20"/>
      <c r="V222" s="20"/>
      <c r="W222" s="20"/>
      <c r="X222" s="27"/>
      <c r="Y222" s="27"/>
      <c r="Z222" s="27"/>
      <c r="AA222" s="27"/>
      <c r="AB222" s="27"/>
      <c r="AC222" s="27"/>
      <c r="AD222" s="27"/>
      <c r="AE222" s="27"/>
      <c r="AF222" s="27"/>
      <c r="AG222" s="27"/>
      <c r="AH222" s="27"/>
      <c r="AI222" s="27"/>
      <c r="AJ222" s="27"/>
      <c r="AK222" s="23"/>
    </row>
    <row r="223" spans="1:37">
      <c r="A223" s="20"/>
      <c r="B223" s="20"/>
      <c r="C223" s="20"/>
      <c r="D223" s="27"/>
      <c r="E223" s="27"/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P223" s="27" t="str">
        <f t="shared" si="3"/>
        <v/>
      </c>
      <c r="Q223" s="23" t="str">
        <f>_xlfn.IFNA(IF(SUM(D223:O223)=0,VLOOKUP(C223,DASHBOARD!$L$9:$M$11,2,0)*12,VLOOKUP(C223,DASHBOARD!$L$9:$M$11,2,0)*12-P223),"")</f>
        <v/>
      </c>
      <c r="U223" s="20"/>
      <c r="V223" s="20"/>
      <c r="W223" s="20"/>
      <c r="X223" s="27"/>
      <c r="Y223" s="27"/>
      <c r="Z223" s="27"/>
      <c r="AA223" s="27"/>
      <c r="AB223" s="27"/>
      <c r="AC223" s="27"/>
      <c r="AD223" s="27"/>
      <c r="AE223" s="27"/>
      <c r="AF223" s="27"/>
      <c r="AG223" s="27"/>
      <c r="AH223" s="27"/>
      <c r="AI223" s="27"/>
      <c r="AJ223" s="27"/>
      <c r="AK223" s="23"/>
    </row>
    <row r="224" spans="1:37">
      <c r="A224" s="20"/>
      <c r="B224" s="20"/>
      <c r="C224" s="20"/>
      <c r="D224" s="27"/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 t="str">
        <f t="shared" si="3"/>
        <v/>
      </c>
      <c r="Q224" s="23" t="str">
        <f>_xlfn.IFNA(IF(SUM(D224:O224)=0,VLOOKUP(C224,DASHBOARD!$L$9:$M$11,2,0)*12,VLOOKUP(C224,DASHBOARD!$L$9:$M$11,2,0)*12-P224),"")</f>
        <v/>
      </c>
      <c r="U224" s="20"/>
      <c r="V224" s="20"/>
      <c r="W224" s="20"/>
      <c r="X224" s="27"/>
      <c r="Y224" s="27"/>
      <c r="Z224" s="27"/>
      <c r="AA224" s="27"/>
      <c r="AB224" s="27"/>
      <c r="AC224" s="27"/>
      <c r="AD224" s="27"/>
      <c r="AE224" s="27"/>
      <c r="AF224" s="27"/>
      <c r="AG224" s="27"/>
      <c r="AH224" s="27"/>
      <c r="AI224" s="27"/>
      <c r="AJ224" s="27"/>
      <c r="AK224" s="23"/>
    </row>
    <row r="225" spans="1:37">
      <c r="A225" s="20"/>
      <c r="B225" s="20"/>
      <c r="C225" s="20"/>
      <c r="D225" s="27"/>
      <c r="E225" s="27"/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P225" s="27" t="str">
        <f t="shared" si="3"/>
        <v/>
      </c>
      <c r="Q225" s="23" t="str">
        <f>_xlfn.IFNA(IF(SUM(D225:O225)=0,VLOOKUP(C225,DASHBOARD!$L$9:$M$11,2,0)*12,VLOOKUP(C225,DASHBOARD!$L$9:$M$11,2,0)*12-P225),"")</f>
        <v/>
      </c>
      <c r="U225" s="20"/>
      <c r="V225" s="20"/>
      <c r="W225" s="20"/>
      <c r="X225" s="27"/>
      <c r="Y225" s="27"/>
      <c r="Z225" s="27"/>
      <c r="AA225" s="27"/>
      <c r="AB225" s="27"/>
      <c r="AC225" s="27"/>
      <c r="AD225" s="27"/>
      <c r="AE225" s="27"/>
      <c r="AF225" s="27"/>
      <c r="AG225" s="27"/>
      <c r="AH225" s="27"/>
      <c r="AI225" s="27"/>
      <c r="AJ225" s="27"/>
      <c r="AK225" s="23"/>
    </row>
    <row r="226" spans="1:37">
      <c r="A226" s="20"/>
      <c r="B226" s="20"/>
      <c r="C226" s="20"/>
      <c r="D226" s="27"/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 t="str">
        <f t="shared" si="3"/>
        <v/>
      </c>
      <c r="Q226" s="23" t="str">
        <f>_xlfn.IFNA(IF(SUM(D226:O226)=0,VLOOKUP(C226,DASHBOARD!$L$9:$M$11,2,0)*12,VLOOKUP(C226,DASHBOARD!$L$9:$M$11,2,0)*12-P226),"")</f>
        <v/>
      </c>
      <c r="U226" s="20"/>
      <c r="V226" s="20"/>
      <c r="W226" s="20"/>
      <c r="X226" s="27"/>
      <c r="Y226" s="27"/>
      <c r="Z226" s="27"/>
      <c r="AA226" s="27"/>
      <c r="AB226" s="27"/>
      <c r="AC226" s="27"/>
      <c r="AD226" s="27"/>
      <c r="AE226" s="27"/>
      <c r="AF226" s="27"/>
      <c r="AG226" s="27"/>
      <c r="AH226" s="27"/>
      <c r="AI226" s="27"/>
      <c r="AJ226" s="27"/>
      <c r="AK226" s="23"/>
    </row>
    <row r="227" spans="1:37">
      <c r="A227" s="20"/>
      <c r="B227" s="20"/>
      <c r="C227" s="20"/>
      <c r="D227" s="27"/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 t="str">
        <f t="shared" si="3"/>
        <v/>
      </c>
      <c r="Q227" s="23" t="str">
        <f>_xlfn.IFNA(IF(SUM(D227:O227)=0,VLOOKUP(C227,DASHBOARD!$L$9:$M$11,2,0)*12,VLOOKUP(C227,DASHBOARD!$L$9:$M$11,2,0)*12-P227),"")</f>
        <v/>
      </c>
      <c r="U227" s="20"/>
      <c r="V227" s="20"/>
      <c r="W227" s="20"/>
      <c r="X227" s="27"/>
      <c r="Y227" s="27"/>
      <c r="Z227" s="27"/>
      <c r="AA227" s="27"/>
      <c r="AB227" s="27"/>
      <c r="AC227" s="27"/>
      <c r="AD227" s="27"/>
      <c r="AE227" s="27"/>
      <c r="AF227" s="27"/>
      <c r="AG227" s="27"/>
      <c r="AH227" s="27"/>
      <c r="AI227" s="27"/>
      <c r="AJ227" s="27"/>
      <c r="AK227" s="23"/>
    </row>
    <row r="228" spans="1:37">
      <c r="A228" s="20"/>
      <c r="B228" s="20"/>
      <c r="C228" s="20"/>
      <c r="D228" s="27"/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 t="str">
        <f t="shared" si="3"/>
        <v/>
      </c>
      <c r="Q228" s="23" t="str">
        <f>_xlfn.IFNA(IF(SUM(D228:O228)=0,VLOOKUP(C228,DASHBOARD!$L$9:$M$11,2,0)*12,VLOOKUP(C228,DASHBOARD!$L$9:$M$11,2,0)*12-P228),"")</f>
        <v/>
      </c>
      <c r="U228" s="20"/>
      <c r="V228" s="20"/>
      <c r="W228" s="20"/>
      <c r="X228" s="27"/>
      <c r="Y228" s="27"/>
      <c r="Z228" s="27"/>
      <c r="AA228" s="27"/>
      <c r="AB228" s="27"/>
      <c r="AC228" s="27"/>
      <c r="AD228" s="27"/>
      <c r="AE228" s="27"/>
      <c r="AF228" s="27"/>
      <c r="AG228" s="27"/>
      <c r="AH228" s="27"/>
      <c r="AI228" s="27"/>
      <c r="AJ228" s="27"/>
      <c r="AK228" s="23"/>
    </row>
    <row r="229" spans="1:37">
      <c r="A229" s="20"/>
      <c r="B229" s="20"/>
      <c r="C229" s="20"/>
      <c r="D229" s="27"/>
      <c r="E229" s="27"/>
      <c r="F229" s="27"/>
      <c r="G229" s="27"/>
      <c r="H229" s="27"/>
      <c r="I229" s="27"/>
      <c r="J229" s="27"/>
      <c r="K229" s="27"/>
      <c r="L229" s="27"/>
      <c r="M229" s="27"/>
      <c r="N229" s="27"/>
      <c r="O229" s="27"/>
      <c r="P229" s="27" t="str">
        <f t="shared" si="3"/>
        <v/>
      </c>
      <c r="Q229" s="23" t="str">
        <f>_xlfn.IFNA(IF(SUM(D229:O229)=0,VLOOKUP(C229,DASHBOARD!$L$9:$M$11,2,0)*12,VLOOKUP(C229,DASHBOARD!$L$9:$M$11,2,0)*12-P229),"")</f>
        <v/>
      </c>
      <c r="U229" s="20"/>
      <c r="V229" s="20"/>
      <c r="W229" s="20"/>
      <c r="X229" s="27"/>
      <c r="Y229" s="27"/>
      <c r="Z229" s="27"/>
      <c r="AA229" s="27"/>
      <c r="AB229" s="27"/>
      <c r="AC229" s="27"/>
      <c r="AD229" s="27"/>
      <c r="AE229" s="27"/>
      <c r="AF229" s="27"/>
      <c r="AG229" s="27"/>
      <c r="AH229" s="27"/>
      <c r="AI229" s="27"/>
      <c r="AJ229" s="27"/>
      <c r="AK229" s="23"/>
    </row>
    <row r="230" spans="1:37">
      <c r="A230" s="20"/>
      <c r="B230" s="20"/>
      <c r="C230" s="20"/>
      <c r="D230" s="27"/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 t="str">
        <f t="shared" si="3"/>
        <v/>
      </c>
      <c r="Q230" s="23" t="str">
        <f>_xlfn.IFNA(IF(SUM(D230:O230)=0,VLOOKUP(C230,DASHBOARD!$L$9:$M$11,2,0)*12,VLOOKUP(C230,DASHBOARD!$L$9:$M$11,2,0)*12-P230),"")</f>
        <v/>
      </c>
      <c r="U230" s="20"/>
      <c r="V230" s="20"/>
      <c r="W230" s="20"/>
      <c r="X230" s="27"/>
      <c r="Y230" s="27"/>
      <c r="Z230" s="27"/>
      <c r="AA230" s="27"/>
      <c r="AB230" s="27"/>
      <c r="AC230" s="27"/>
      <c r="AD230" s="27"/>
      <c r="AE230" s="27"/>
      <c r="AF230" s="27"/>
      <c r="AG230" s="27"/>
      <c r="AH230" s="27"/>
      <c r="AI230" s="27"/>
      <c r="AJ230" s="27"/>
      <c r="AK230" s="23"/>
    </row>
    <row r="231" spans="1:37">
      <c r="A231" s="20"/>
      <c r="B231" s="20"/>
      <c r="C231" s="20"/>
      <c r="D231" s="27"/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P231" s="27" t="str">
        <f t="shared" si="3"/>
        <v/>
      </c>
      <c r="Q231" s="23" t="str">
        <f>_xlfn.IFNA(IF(SUM(D231:O231)=0,VLOOKUP(C231,DASHBOARD!$L$9:$M$11,2,0)*12,VLOOKUP(C231,DASHBOARD!$L$9:$M$11,2,0)*12-P231),"")</f>
        <v/>
      </c>
      <c r="U231" s="20"/>
      <c r="V231" s="20"/>
      <c r="W231" s="20"/>
      <c r="X231" s="27"/>
      <c r="Y231" s="27"/>
      <c r="Z231" s="27"/>
      <c r="AA231" s="27"/>
      <c r="AB231" s="27"/>
      <c r="AC231" s="27"/>
      <c r="AD231" s="27"/>
      <c r="AE231" s="27"/>
      <c r="AF231" s="27"/>
      <c r="AG231" s="27"/>
      <c r="AH231" s="27"/>
      <c r="AI231" s="27"/>
      <c r="AJ231" s="27"/>
      <c r="AK231" s="23"/>
    </row>
    <row r="232" spans="1:37">
      <c r="A232" s="20"/>
      <c r="B232" s="20"/>
      <c r="C232" s="20"/>
      <c r="D232" s="27"/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 t="str">
        <f t="shared" si="3"/>
        <v/>
      </c>
      <c r="Q232" s="23" t="str">
        <f>_xlfn.IFNA(IF(SUM(D232:O232)=0,VLOOKUP(C232,DASHBOARD!$L$9:$M$11,2,0)*12,VLOOKUP(C232,DASHBOARD!$L$9:$M$11,2,0)*12-P232),"")</f>
        <v/>
      </c>
      <c r="U232" s="20"/>
      <c r="V232" s="20"/>
      <c r="W232" s="20"/>
      <c r="X232" s="27"/>
      <c r="Y232" s="27"/>
      <c r="Z232" s="27"/>
      <c r="AA232" s="27"/>
      <c r="AB232" s="27"/>
      <c r="AC232" s="27"/>
      <c r="AD232" s="27"/>
      <c r="AE232" s="27"/>
      <c r="AF232" s="27"/>
      <c r="AG232" s="27"/>
      <c r="AH232" s="27"/>
      <c r="AI232" s="27"/>
      <c r="AJ232" s="27"/>
      <c r="AK232" s="23"/>
    </row>
    <row r="233" spans="1:37">
      <c r="A233" s="20"/>
      <c r="B233" s="20"/>
      <c r="C233" s="20"/>
      <c r="D233" s="27"/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P233" s="27" t="str">
        <f t="shared" si="3"/>
        <v/>
      </c>
      <c r="Q233" s="23" t="str">
        <f>_xlfn.IFNA(IF(SUM(D233:O233)=0,VLOOKUP(C233,DASHBOARD!$L$9:$M$11,2,0)*12,VLOOKUP(C233,DASHBOARD!$L$9:$M$11,2,0)*12-P233),"")</f>
        <v/>
      </c>
      <c r="U233" s="20"/>
      <c r="V233" s="20"/>
      <c r="W233" s="20"/>
      <c r="X233" s="27"/>
      <c r="Y233" s="27"/>
      <c r="Z233" s="27"/>
      <c r="AA233" s="27"/>
      <c r="AB233" s="27"/>
      <c r="AC233" s="27"/>
      <c r="AD233" s="27"/>
      <c r="AE233" s="27"/>
      <c r="AF233" s="27"/>
      <c r="AG233" s="27"/>
      <c r="AH233" s="27"/>
      <c r="AI233" s="27"/>
      <c r="AJ233" s="27"/>
      <c r="AK233" s="23"/>
    </row>
    <row r="234" spans="1:37">
      <c r="A234" s="20"/>
      <c r="B234" s="20"/>
      <c r="C234" s="20"/>
      <c r="D234" s="27"/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 t="str">
        <f t="shared" si="3"/>
        <v/>
      </c>
      <c r="Q234" s="23" t="str">
        <f>_xlfn.IFNA(IF(SUM(D234:O234)=0,VLOOKUP(C234,DASHBOARD!$L$9:$M$11,2,0)*12,VLOOKUP(C234,DASHBOARD!$L$9:$M$11,2,0)*12-P234),"")</f>
        <v/>
      </c>
      <c r="U234" s="20"/>
      <c r="V234" s="20"/>
      <c r="W234" s="20"/>
      <c r="X234" s="27"/>
      <c r="Y234" s="27"/>
      <c r="Z234" s="27"/>
      <c r="AA234" s="27"/>
      <c r="AB234" s="27"/>
      <c r="AC234" s="27"/>
      <c r="AD234" s="27"/>
      <c r="AE234" s="27"/>
      <c r="AF234" s="27"/>
      <c r="AG234" s="27"/>
      <c r="AH234" s="27"/>
      <c r="AI234" s="27"/>
      <c r="AJ234" s="27"/>
      <c r="AK234" s="23"/>
    </row>
    <row r="235" spans="1:37">
      <c r="A235" s="20"/>
      <c r="B235" s="20"/>
      <c r="C235" s="20"/>
      <c r="D235" s="27"/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P235" s="27" t="str">
        <f t="shared" si="3"/>
        <v/>
      </c>
      <c r="Q235" s="23" t="str">
        <f>_xlfn.IFNA(IF(SUM(D235:O235)=0,VLOOKUP(C235,DASHBOARD!$L$9:$M$11,2,0)*12,VLOOKUP(C235,DASHBOARD!$L$9:$M$11,2,0)*12-P235),"")</f>
        <v/>
      </c>
      <c r="U235" s="20"/>
      <c r="V235" s="20"/>
      <c r="W235" s="20"/>
      <c r="X235" s="27"/>
      <c r="Y235" s="27"/>
      <c r="Z235" s="27"/>
      <c r="AA235" s="27"/>
      <c r="AB235" s="27"/>
      <c r="AC235" s="27"/>
      <c r="AD235" s="27"/>
      <c r="AE235" s="27"/>
      <c r="AF235" s="27"/>
      <c r="AG235" s="27"/>
      <c r="AH235" s="27"/>
      <c r="AI235" s="27"/>
      <c r="AJ235" s="27"/>
      <c r="AK235" s="23"/>
    </row>
    <row r="236" spans="1:37">
      <c r="A236" s="20"/>
      <c r="B236" s="20"/>
      <c r="C236" s="20"/>
      <c r="D236" s="27"/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 t="str">
        <f t="shared" si="3"/>
        <v/>
      </c>
      <c r="Q236" s="23" t="str">
        <f>_xlfn.IFNA(IF(SUM(D236:O236)=0,VLOOKUP(C236,DASHBOARD!$L$9:$M$11,2,0)*12,VLOOKUP(C236,DASHBOARD!$L$9:$M$11,2,0)*12-P236),"")</f>
        <v/>
      </c>
      <c r="U236" s="20"/>
      <c r="V236" s="20"/>
      <c r="W236" s="20"/>
      <c r="X236" s="27"/>
      <c r="Y236" s="27"/>
      <c r="Z236" s="27"/>
      <c r="AA236" s="27"/>
      <c r="AB236" s="27"/>
      <c r="AC236" s="27"/>
      <c r="AD236" s="27"/>
      <c r="AE236" s="27"/>
      <c r="AF236" s="27"/>
      <c r="AG236" s="27"/>
      <c r="AH236" s="27"/>
      <c r="AI236" s="27"/>
      <c r="AJ236" s="27"/>
      <c r="AK236" s="23"/>
    </row>
    <row r="237" spans="1:37">
      <c r="A237" s="20"/>
      <c r="B237" s="20"/>
      <c r="C237" s="20"/>
      <c r="D237" s="27"/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P237" s="27" t="str">
        <f t="shared" si="3"/>
        <v/>
      </c>
      <c r="Q237" s="23" t="str">
        <f>_xlfn.IFNA(IF(SUM(D237:O237)=0,VLOOKUP(C237,DASHBOARD!$L$9:$M$11,2,0)*12,VLOOKUP(C237,DASHBOARD!$L$9:$M$11,2,0)*12-P237),"")</f>
        <v/>
      </c>
      <c r="U237" s="20"/>
      <c r="V237" s="20"/>
      <c r="W237" s="20"/>
      <c r="X237" s="27"/>
      <c r="Y237" s="27"/>
      <c r="Z237" s="27"/>
      <c r="AA237" s="27"/>
      <c r="AB237" s="27"/>
      <c r="AC237" s="27"/>
      <c r="AD237" s="27"/>
      <c r="AE237" s="27"/>
      <c r="AF237" s="27"/>
      <c r="AG237" s="27"/>
      <c r="AH237" s="27"/>
      <c r="AI237" s="27"/>
      <c r="AJ237" s="27"/>
      <c r="AK237" s="23"/>
    </row>
    <row r="238" spans="1:37">
      <c r="A238" s="20"/>
      <c r="B238" s="20"/>
      <c r="C238" s="20"/>
      <c r="D238" s="27"/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 t="str">
        <f t="shared" si="3"/>
        <v/>
      </c>
      <c r="Q238" s="23" t="str">
        <f>_xlfn.IFNA(IF(SUM(D238:O238)=0,VLOOKUP(C238,DASHBOARD!$L$9:$M$11,2,0)*12,VLOOKUP(C238,DASHBOARD!$L$9:$M$11,2,0)*12-P238),"")</f>
        <v/>
      </c>
      <c r="U238" s="20"/>
      <c r="V238" s="20"/>
      <c r="W238" s="20"/>
      <c r="X238" s="27"/>
      <c r="Y238" s="27"/>
      <c r="Z238" s="27"/>
      <c r="AA238" s="27"/>
      <c r="AB238" s="27"/>
      <c r="AC238" s="27"/>
      <c r="AD238" s="27"/>
      <c r="AE238" s="27"/>
      <c r="AF238" s="27"/>
      <c r="AG238" s="27"/>
      <c r="AH238" s="27"/>
      <c r="AI238" s="27"/>
      <c r="AJ238" s="27"/>
      <c r="AK238" s="23"/>
    </row>
    <row r="239" spans="1:37">
      <c r="A239" s="20"/>
      <c r="B239" s="20"/>
      <c r="C239" s="20"/>
      <c r="D239" s="27"/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P239" s="27" t="str">
        <f t="shared" si="3"/>
        <v/>
      </c>
      <c r="Q239" s="23" t="str">
        <f>_xlfn.IFNA(IF(SUM(D239:O239)=0,VLOOKUP(C239,DASHBOARD!$L$9:$M$11,2,0)*12,VLOOKUP(C239,DASHBOARD!$L$9:$M$11,2,0)*12-P239),"")</f>
        <v/>
      </c>
      <c r="U239" s="20"/>
      <c r="V239" s="20"/>
      <c r="W239" s="20"/>
      <c r="X239" s="27"/>
      <c r="Y239" s="27"/>
      <c r="Z239" s="27"/>
      <c r="AA239" s="27"/>
      <c r="AB239" s="27"/>
      <c r="AC239" s="27"/>
      <c r="AD239" s="27"/>
      <c r="AE239" s="27"/>
      <c r="AF239" s="27"/>
      <c r="AG239" s="27"/>
      <c r="AH239" s="27"/>
      <c r="AI239" s="27"/>
      <c r="AJ239" s="27"/>
      <c r="AK239" s="23"/>
    </row>
    <row r="240" spans="1:37">
      <c r="A240" s="20"/>
      <c r="B240" s="20"/>
      <c r="C240" s="20"/>
      <c r="D240" s="27"/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 t="str">
        <f t="shared" si="3"/>
        <v/>
      </c>
      <c r="Q240" s="23" t="str">
        <f>_xlfn.IFNA(IF(SUM(D240:O240)=0,VLOOKUP(C240,DASHBOARD!$L$9:$M$11,2,0)*12,VLOOKUP(C240,DASHBOARD!$L$9:$M$11,2,0)*12-P240),"")</f>
        <v/>
      </c>
      <c r="U240" s="20"/>
      <c r="V240" s="20"/>
      <c r="W240" s="20"/>
      <c r="X240" s="27"/>
      <c r="Y240" s="27"/>
      <c r="Z240" s="27"/>
      <c r="AA240" s="27"/>
      <c r="AB240" s="27"/>
      <c r="AC240" s="27"/>
      <c r="AD240" s="27"/>
      <c r="AE240" s="27"/>
      <c r="AF240" s="27"/>
      <c r="AG240" s="27"/>
      <c r="AH240" s="27"/>
      <c r="AI240" s="27"/>
      <c r="AJ240" s="27"/>
      <c r="AK240" s="23"/>
    </row>
    <row r="241" spans="1:37">
      <c r="A241" s="20"/>
      <c r="B241" s="20"/>
      <c r="C241" s="20"/>
      <c r="D241" s="27"/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P241" s="27" t="str">
        <f t="shared" si="3"/>
        <v/>
      </c>
      <c r="Q241" s="23" t="str">
        <f>_xlfn.IFNA(IF(SUM(D241:O241)=0,VLOOKUP(C241,DASHBOARD!$L$9:$M$11,2,0)*12,VLOOKUP(C241,DASHBOARD!$L$9:$M$11,2,0)*12-P241),"")</f>
        <v/>
      </c>
      <c r="U241" s="20"/>
      <c r="V241" s="20"/>
      <c r="W241" s="20"/>
      <c r="X241" s="27"/>
      <c r="Y241" s="27"/>
      <c r="Z241" s="27"/>
      <c r="AA241" s="27"/>
      <c r="AB241" s="27"/>
      <c r="AC241" s="27"/>
      <c r="AD241" s="27"/>
      <c r="AE241" s="27"/>
      <c r="AF241" s="27"/>
      <c r="AG241" s="27"/>
      <c r="AH241" s="27"/>
      <c r="AI241" s="27"/>
      <c r="AJ241" s="27"/>
      <c r="AK241" s="23"/>
    </row>
    <row r="242" spans="1:37">
      <c r="A242" s="20"/>
      <c r="B242" s="20"/>
      <c r="C242" s="20"/>
      <c r="D242" s="27"/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 t="str">
        <f t="shared" si="3"/>
        <v/>
      </c>
      <c r="Q242" s="23" t="str">
        <f>_xlfn.IFNA(IF(SUM(D242:O242)=0,VLOOKUP(C242,DASHBOARD!$L$9:$M$11,2,0)*12,VLOOKUP(C242,DASHBOARD!$L$9:$M$11,2,0)*12-P242),"")</f>
        <v/>
      </c>
      <c r="U242" s="20"/>
      <c r="V242" s="20"/>
      <c r="W242" s="20"/>
      <c r="X242" s="27"/>
      <c r="Y242" s="27"/>
      <c r="Z242" s="27"/>
      <c r="AA242" s="27"/>
      <c r="AB242" s="27"/>
      <c r="AC242" s="27"/>
      <c r="AD242" s="27"/>
      <c r="AE242" s="27"/>
      <c r="AF242" s="27"/>
      <c r="AG242" s="27"/>
      <c r="AH242" s="27"/>
      <c r="AI242" s="27"/>
      <c r="AJ242" s="27"/>
      <c r="AK242" s="23"/>
    </row>
    <row r="243" spans="1:37">
      <c r="A243" s="20"/>
      <c r="B243" s="20"/>
      <c r="C243" s="20"/>
      <c r="D243" s="27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 t="str">
        <f t="shared" si="3"/>
        <v/>
      </c>
      <c r="Q243" s="23" t="str">
        <f>_xlfn.IFNA(IF(SUM(D243:O243)=0,VLOOKUP(C243,DASHBOARD!$L$9:$M$11,2,0)*12,VLOOKUP(C243,DASHBOARD!$L$9:$M$11,2,0)*12-P243),"")</f>
        <v/>
      </c>
      <c r="U243" s="20"/>
      <c r="V243" s="20"/>
      <c r="W243" s="20"/>
      <c r="X243" s="27"/>
      <c r="Y243" s="27"/>
      <c r="Z243" s="27"/>
      <c r="AA243" s="27"/>
      <c r="AB243" s="27"/>
      <c r="AC243" s="27"/>
      <c r="AD243" s="27"/>
      <c r="AE243" s="27"/>
      <c r="AF243" s="27"/>
      <c r="AG243" s="27"/>
      <c r="AH243" s="27"/>
      <c r="AI243" s="27"/>
      <c r="AJ243" s="27"/>
      <c r="AK243" s="23"/>
    </row>
    <row r="244" spans="1:37">
      <c r="A244" s="20"/>
      <c r="B244" s="20"/>
      <c r="C244" s="20"/>
      <c r="D244" s="27"/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 t="str">
        <f t="shared" si="3"/>
        <v/>
      </c>
      <c r="Q244" s="23" t="str">
        <f>_xlfn.IFNA(IF(SUM(D244:O244)=0,VLOOKUP(C244,DASHBOARD!$L$9:$M$11,2,0)*12,VLOOKUP(C244,DASHBOARD!$L$9:$M$11,2,0)*12-P244),"")</f>
        <v/>
      </c>
      <c r="U244" s="20"/>
      <c r="V244" s="20"/>
      <c r="W244" s="20"/>
      <c r="X244" s="27"/>
      <c r="Y244" s="27"/>
      <c r="Z244" s="27"/>
      <c r="AA244" s="27"/>
      <c r="AB244" s="27"/>
      <c r="AC244" s="27"/>
      <c r="AD244" s="27"/>
      <c r="AE244" s="27"/>
      <c r="AF244" s="27"/>
      <c r="AG244" s="27"/>
      <c r="AH244" s="27"/>
      <c r="AI244" s="27"/>
      <c r="AJ244" s="27"/>
      <c r="AK244" s="23"/>
    </row>
    <row r="245" spans="1:37">
      <c r="A245" s="20"/>
      <c r="B245" s="20"/>
      <c r="C245" s="20"/>
      <c r="D245" s="27"/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  <c r="P245" s="27" t="str">
        <f t="shared" si="3"/>
        <v/>
      </c>
      <c r="Q245" s="23" t="str">
        <f>_xlfn.IFNA(IF(SUM(D245:O245)=0,VLOOKUP(C245,DASHBOARD!$L$9:$M$11,2,0)*12,VLOOKUP(C245,DASHBOARD!$L$9:$M$11,2,0)*12-P245),"")</f>
        <v/>
      </c>
      <c r="U245" s="20"/>
      <c r="V245" s="20"/>
      <c r="W245" s="20"/>
      <c r="X245" s="27"/>
      <c r="Y245" s="27"/>
      <c r="Z245" s="27"/>
      <c r="AA245" s="27"/>
      <c r="AB245" s="27"/>
      <c r="AC245" s="27"/>
      <c r="AD245" s="27"/>
      <c r="AE245" s="27"/>
      <c r="AF245" s="27"/>
      <c r="AG245" s="27"/>
      <c r="AH245" s="27"/>
      <c r="AI245" s="27"/>
      <c r="AJ245" s="27"/>
      <c r="AK245" s="23"/>
    </row>
    <row r="246" spans="1:37">
      <c r="A246" s="20"/>
      <c r="B246" s="20"/>
      <c r="C246" s="20"/>
      <c r="D246" s="27"/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 t="str">
        <f t="shared" si="3"/>
        <v/>
      </c>
      <c r="Q246" s="23" t="str">
        <f>_xlfn.IFNA(IF(SUM(D246:O246)=0,VLOOKUP(C246,DASHBOARD!$L$9:$M$11,2,0)*12,VLOOKUP(C246,DASHBOARD!$L$9:$M$11,2,0)*12-P246),"")</f>
        <v/>
      </c>
      <c r="U246" s="20"/>
      <c r="V246" s="20"/>
      <c r="W246" s="20"/>
      <c r="X246" s="27"/>
      <c r="Y246" s="27"/>
      <c r="Z246" s="27"/>
      <c r="AA246" s="27"/>
      <c r="AB246" s="27"/>
      <c r="AC246" s="27"/>
      <c r="AD246" s="27"/>
      <c r="AE246" s="27"/>
      <c r="AF246" s="27"/>
      <c r="AG246" s="27"/>
      <c r="AH246" s="27"/>
      <c r="AI246" s="27"/>
      <c r="AJ246" s="27"/>
      <c r="AK246" s="23"/>
    </row>
    <row r="247" spans="1:37">
      <c r="A247" s="20"/>
      <c r="B247" s="20"/>
      <c r="C247" s="20"/>
      <c r="D247" s="27"/>
      <c r="E247" s="27"/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P247" s="27" t="str">
        <f t="shared" si="3"/>
        <v/>
      </c>
      <c r="Q247" s="23" t="str">
        <f>_xlfn.IFNA(IF(SUM(D247:O247)=0,VLOOKUP(C247,DASHBOARD!$L$9:$M$11,2,0)*12,VLOOKUP(C247,DASHBOARD!$L$9:$M$11,2,0)*12-P247),"")</f>
        <v/>
      </c>
      <c r="U247" s="20"/>
      <c r="V247" s="20"/>
      <c r="W247" s="20"/>
      <c r="X247" s="27"/>
      <c r="Y247" s="27"/>
      <c r="Z247" s="27"/>
      <c r="AA247" s="27"/>
      <c r="AB247" s="27"/>
      <c r="AC247" s="27"/>
      <c r="AD247" s="27"/>
      <c r="AE247" s="27"/>
      <c r="AF247" s="27"/>
      <c r="AG247" s="27"/>
      <c r="AH247" s="27"/>
      <c r="AI247" s="27"/>
      <c r="AJ247" s="27"/>
      <c r="AK247" s="23"/>
    </row>
    <row r="248" spans="1:37">
      <c r="A248" s="20"/>
      <c r="B248" s="20"/>
      <c r="C248" s="20"/>
      <c r="D248" s="27"/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 t="str">
        <f t="shared" si="3"/>
        <v/>
      </c>
      <c r="Q248" s="23" t="str">
        <f>_xlfn.IFNA(IF(SUM(D248:O248)=0,VLOOKUP(C248,DASHBOARD!$L$9:$M$11,2,0)*12,VLOOKUP(C248,DASHBOARD!$L$9:$M$11,2,0)*12-P248),"")</f>
        <v/>
      </c>
      <c r="U248" s="20"/>
      <c r="V248" s="20"/>
      <c r="W248" s="20"/>
      <c r="X248" s="27"/>
      <c r="Y248" s="27"/>
      <c r="Z248" s="27"/>
      <c r="AA248" s="27"/>
      <c r="AB248" s="27"/>
      <c r="AC248" s="27"/>
      <c r="AD248" s="27"/>
      <c r="AE248" s="27"/>
      <c r="AF248" s="27"/>
      <c r="AG248" s="27"/>
      <c r="AH248" s="27"/>
      <c r="AI248" s="27"/>
      <c r="AJ248" s="27"/>
      <c r="AK248" s="23"/>
    </row>
    <row r="249" spans="1:37">
      <c r="A249" s="20"/>
      <c r="B249" s="20"/>
      <c r="C249" s="20"/>
      <c r="D249" s="27"/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P249" s="27" t="str">
        <f t="shared" si="3"/>
        <v/>
      </c>
      <c r="Q249" s="23" t="str">
        <f>_xlfn.IFNA(IF(SUM(D249:O249)=0,VLOOKUP(C249,DASHBOARD!$L$9:$M$11,2,0)*12,VLOOKUP(C249,DASHBOARD!$L$9:$M$11,2,0)*12-P249),"")</f>
        <v/>
      </c>
      <c r="U249" s="20"/>
      <c r="V249" s="20"/>
      <c r="W249" s="20"/>
      <c r="X249" s="27"/>
      <c r="Y249" s="27"/>
      <c r="Z249" s="27"/>
      <c r="AA249" s="27"/>
      <c r="AB249" s="27"/>
      <c r="AC249" s="27"/>
      <c r="AD249" s="27"/>
      <c r="AE249" s="27"/>
      <c r="AF249" s="27"/>
      <c r="AG249" s="27"/>
      <c r="AH249" s="27"/>
      <c r="AI249" s="27"/>
      <c r="AJ249" s="27"/>
      <c r="AK249" s="23"/>
    </row>
    <row r="250" spans="1:37">
      <c r="A250" s="20"/>
      <c r="B250" s="20"/>
      <c r="C250" s="20"/>
      <c r="D250" s="27"/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 t="str">
        <f t="shared" si="3"/>
        <v/>
      </c>
      <c r="Q250" s="23" t="str">
        <f>_xlfn.IFNA(IF(SUM(D250:O250)=0,VLOOKUP(C250,DASHBOARD!$L$9:$M$11,2,0)*12,VLOOKUP(C250,DASHBOARD!$L$9:$M$11,2,0)*12-P250),"")</f>
        <v/>
      </c>
      <c r="U250" s="20"/>
      <c r="V250" s="20"/>
      <c r="W250" s="20"/>
      <c r="X250" s="27"/>
      <c r="Y250" s="27"/>
      <c r="Z250" s="27"/>
      <c r="AA250" s="27"/>
      <c r="AB250" s="27"/>
      <c r="AC250" s="27"/>
      <c r="AD250" s="27"/>
      <c r="AE250" s="27"/>
      <c r="AF250" s="27"/>
      <c r="AG250" s="27"/>
      <c r="AH250" s="27"/>
      <c r="AI250" s="27"/>
      <c r="AJ250" s="27"/>
      <c r="AK250" s="23"/>
    </row>
    <row r="251" spans="1:37">
      <c r="A251" s="20"/>
      <c r="B251" s="20"/>
      <c r="C251" s="20"/>
      <c r="D251" s="27"/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P251" s="27" t="str">
        <f t="shared" si="3"/>
        <v/>
      </c>
      <c r="Q251" s="23" t="str">
        <f>_xlfn.IFNA(IF(SUM(D251:O251)=0,VLOOKUP(C251,DASHBOARD!$L$9:$M$11,2,0)*12,VLOOKUP(C251,DASHBOARD!$L$9:$M$11,2,0)*12-P251),"")</f>
        <v/>
      </c>
      <c r="U251" s="20"/>
      <c r="V251" s="20"/>
      <c r="W251" s="20"/>
      <c r="X251" s="27"/>
      <c r="Y251" s="27"/>
      <c r="Z251" s="27"/>
      <c r="AA251" s="27"/>
      <c r="AB251" s="27"/>
      <c r="AC251" s="27"/>
      <c r="AD251" s="27"/>
      <c r="AE251" s="27"/>
      <c r="AF251" s="27"/>
      <c r="AG251" s="27"/>
      <c r="AH251" s="27"/>
      <c r="AI251" s="27"/>
      <c r="AJ251" s="27"/>
      <c r="AK251" s="23"/>
    </row>
    <row r="252" spans="1:37">
      <c r="A252" s="20"/>
      <c r="B252" s="20"/>
      <c r="C252" s="20"/>
      <c r="D252" s="27"/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 t="str">
        <f t="shared" si="3"/>
        <v/>
      </c>
      <c r="Q252" s="23" t="str">
        <f>_xlfn.IFNA(IF(SUM(D252:O252)=0,VLOOKUP(C252,DASHBOARD!$L$9:$M$11,2,0)*12,VLOOKUP(C252,DASHBOARD!$L$9:$M$11,2,0)*12-P252),"")</f>
        <v/>
      </c>
      <c r="U252" s="20"/>
      <c r="V252" s="20"/>
      <c r="W252" s="20"/>
      <c r="X252" s="27"/>
      <c r="Y252" s="27"/>
      <c r="Z252" s="27"/>
      <c r="AA252" s="27"/>
      <c r="AB252" s="27"/>
      <c r="AC252" s="27"/>
      <c r="AD252" s="27"/>
      <c r="AE252" s="27"/>
      <c r="AF252" s="27"/>
      <c r="AG252" s="27"/>
      <c r="AH252" s="27"/>
      <c r="AI252" s="27"/>
      <c r="AJ252" s="27"/>
      <c r="AK252" s="23"/>
    </row>
    <row r="253" spans="1:37">
      <c r="A253" s="20"/>
      <c r="B253" s="20"/>
      <c r="C253" s="20"/>
      <c r="D253" s="27"/>
      <c r="E253" s="27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27" t="str">
        <f t="shared" si="3"/>
        <v/>
      </c>
      <c r="Q253" s="23" t="str">
        <f>_xlfn.IFNA(IF(SUM(D253:O253)=0,VLOOKUP(C253,DASHBOARD!$L$9:$M$11,2,0)*12,VLOOKUP(C253,DASHBOARD!$L$9:$M$11,2,0)*12-P253),"")</f>
        <v/>
      </c>
      <c r="U253" s="20"/>
      <c r="V253" s="20"/>
      <c r="W253" s="20"/>
      <c r="X253" s="27"/>
      <c r="Y253" s="27"/>
      <c r="Z253" s="27"/>
      <c r="AA253" s="27"/>
      <c r="AB253" s="27"/>
      <c r="AC253" s="27"/>
      <c r="AD253" s="27"/>
      <c r="AE253" s="27"/>
      <c r="AF253" s="27"/>
      <c r="AG253" s="27"/>
      <c r="AH253" s="27"/>
      <c r="AI253" s="27"/>
      <c r="AJ253" s="27"/>
      <c r="AK253" s="23"/>
    </row>
    <row r="254" spans="1:37">
      <c r="A254" s="20"/>
      <c r="B254" s="20"/>
      <c r="C254" s="20"/>
      <c r="D254" s="27"/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 t="str">
        <f t="shared" si="3"/>
        <v/>
      </c>
      <c r="Q254" s="23" t="str">
        <f>_xlfn.IFNA(IF(SUM(D254:O254)=0,VLOOKUP(C254,DASHBOARD!$L$9:$M$11,2,0)*12,VLOOKUP(C254,DASHBOARD!$L$9:$M$11,2,0)*12-P254),"")</f>
        <v/>
      </c>
      <c r="U254" s="20"/>
      <c r="V254" s="20"/>
      <c r="W254" s="20"/>
      <c r="X254" s="27"/>
      <c r="Y254" s="27"/>
      <c r="Z254" s="27"/>
      <c r="AA254" s="27"/>
      <c r="AB254" s="27"/>
      <c r="AC254" s="27"/>
      <c r="AD254" s="27"/>
      <c r="AE254" s="27"/>
      <c r="AF254" s="27"/>
      <c r="AG254" s="27"/>
      <c r="AH254" s="27"/>
      <c r="AI254" s="27"/>
      <c r="AJ254" s="27"/>
      <c r="AK254" s="23"/>
    </row>
    <row r="255" spans="1:37">
      <c r="A255" s="20"/>
      <c r="B255" s="20"/>
      <c r="C255" s="20"/>
      <c r="D255" s="27"/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27" t="str">
        <f t="shared" si="3"/>
        <v/>
      </c>
      <c r="Q255" s="23" t="str">
        <f>_xlfn.IFNA(IF(SUM(D255:O255)=0,VLOOKUP(C255,DASHBOARD!$L$9:$M$11,2,0)*12,VLOOKUP(C255,DASHBOARD!$L$9:$M$11,2,0)*12-P255),"")</f>
        <v/>
      </c>
      <c r="U255" s="20"/>
      <c r="V255" s="20"/>
      <c r="W255" s="20"/>
      <c r="X255" s="27"/>
      <c r="Y255" s="27"/>
      <c r="Z255" s="27"/>
      <c r="AA255" s="27"/>
      <c r="AB255" s="27"/>
      <c r="AC255" s="27"/>
      <c r="AD255" s="27"/>
      <c r="AE255" s="27"/>
      <c r="AF255" s="27"/>
      <c r="AG255" s="27"/>
      <c r="AH255" s="27"/>
      <c r="AI255" s="27"/>
      <c r="AJ255" s="27"/>
      <c r="AK255" s="23"/>
    </row>
    <row r="256" spans="1:37">
      <c r="A256" s="20"/>
      <c r="B256" s="20"/>
      <c r="C256" s="20"/>
      <c r="D256" s="27"/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 t="str">
        <f t="shared" si="3"/>
        <v/>
      </c>
      <c r="Q256" s="23" t="str">
        <f>_xlfn.IFNA(IF(SUM(D256:O256)=0,VLOOKUP(C256,DASHBOARD!$L$9:$M$11,2,0)*12,VLOOKUP(C256,DASHBOARD!$L$9:$M$11,2,0)*12-P256),"")</f>
        <v/>
      </c>
      <c r="U256" s="20"/>
      <c r="V256" s="20"/>
      <c r="W256" s="20"/>
      <c r="X256" s="27"/>
      <c r="Y256" s="27"/>
      <c r="Z256" s="27"/>
      <c r="AA256" s="27"/>
      <c r="AB256" s="27"/>
      <c r="AC256" s="27"/>
      <c r="AD256" s="27"/>
      <c r="AE256" s="27"/>
      <c r="AF256" s="27"/>
      <c r="AG256" s="27"/>
      <c r="AH256" s="27"/>
      <c r="AI256" s="27"/>
      <c r="AJ256" s="27"/>
      <c r="AK256" s="23"/>
    </row>
    <row r="257" spans="1:37">
      <c r="A257" s="20"/>
      <c r="B257" s="20"/>
      <c r="C257" s="20"/>
      <c r="D257" s="27"/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P257" s="27" t="str">
        <f t="shared" si="3"/>
        <v/>
      </c>
      <c r="Q257" s="23" t="str">
        <f>_xlfn.IFNA(IF(SUM(D257:O257)=0,VLOOKUP(C257,DASHBOARD!$L$9:$M$11,2,0)*12,VLOOKUP(C257,DASHBOARD!$L$9:$M$11,2,0)*12-P257),"")</f>
        <v/>
      </c>
      <c r="U257" s="20"/>
      <c r="V257" s="20"/>
      <c r="W257" s="20"/>
      <c r="X257" s="27"/>
      <c r="Y257" s="27"/>
      <c r="Z257" s="27"/>
      <c r="AA257" s="27"/>
      <c r="AB257" s="27"/>
      <c r="AC257" s="27"/>
      <c r="AD257" s="27"/>
      <c r="AE257" s="27"/>
      <c r="AF257" s="27"/>
      <c r="AG257" s="27"/>
      <c r="AH257" s="27"/>
      <c r="AI257" s="27"/>
      <c r="AJ257" s="27"/>
      <c r="AK257" s="23"/>
    </row>
    <row r="258" spans="1:37">
      <c r="A258" s="20"/>
      <c r="B258" s="20"/>
      <c r="C258" s="20"/>
      <c r="D258" s="27"/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 t="str">
        <f t="shared" si="3"/>
        <v/>
      </c>
      <c r="Q258" s="23" t="str">
        <f>_xlfn.IFNA(IF(SUM(D258:O258)=0,VLOOKUP(C258,DASHBOARD!$L$9:$M$11,2,0)*12,VLOOKUP(C258,DASHBOARD!$L$9:$M$11,2,0)*12-P258),"")</f>
        <v/>
      </c>
      <c r="U258" s="20"/>
      <c r="V258" s="20"/>
      <c r="W258" s="20"/>
      <c r="X258" s="27"/>
      <c r="Y258" s="27"/>
      <c r="Z258" s="27"/>
      <c r="AA258" s="27"/>
      <c r="AB258" s="27"/>
      <c r="AC258" s="27"/>
      <c r="AD258" s="27"/>
      <c r="AE258" s="27"/>
      <c r="AF258" s="27"/>
      <c r="AG258" s="27"/>
      <c r="AH258" s="27"/>
      <c r="AI258" s="27"/>
      <c r="AJ258" s="27"/>
      <c r="AK258" s="23"/>
    </row>
    <row r="259" spans="1:37">
      <c r="A259" s="20"/>
      <c r="B259" s="20"/>
      <c r="C259" s="20"/>
      <c r="D259" s="27"/>
      <c r="E259" s="27"/>
      <c r="F259" s="27"/>
      <c r="G259" s="27"/>
      <c r="H259" s="27"/>
      <c r="I259" s="27"/>
      <c r="J259" s="27"/>
      <c r="K259" s="27"/>
      <c r="L259" s="27"/>
      <c r="M259" s="27"/>
      <c r="N259" s="27"/>
      <c r="O259" s="27"/>
      <c r="P259" s="27" t="str">
        <f t="shared" si="3"/>
        <v/>
      </c>
      <c r="Q259" s="23" t="str">
        <f>_xlfn.IFNA(IF(SUM(D259:O259)=0,VLOOKUP(C259,DASHBOARD!$L$9:$M$11,2,0)*12,VLOOKUP(C259,DASHBOARD!$L$9:$M$11,2,0)*12-P259),"")</f>
        <v/>
      </c>
      <c r="U259" s="20"/>
      <c r="V259" s="20"/>
      <c r="W259" s="20"/>
      <c r="X259" s="27"/>
      <c r="Y259" s="27"/>
      <c r="Z259" s="27"/>
      <c r="AA259" s="27"/>
      <c r="AB259" s="27"/>
      <c r="AC259" s="27"/>
      <c r="AD259" s="27"/>
      <c r="AE259" s="27"/>
      <c r="AF259" s="27"/>
      <c r="AG259" s="27"/>
      <c r="AH259" s="27"/>
      <c r="AI259" s="27"/>
      <c r="AJ259" s="27"/>
      <c r="AK259" s="23"/>
    </row>
    <row r="260" spans="1:37">
      <c r="A260" s="20"/>
      <c r="B260" s="20"/>
      <c r="C260" s="20"/>
      <c r="D260" s="27"/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 t="str">
        <f t="shared" si="3"/>
        <v/>
      </c>
      <c r="Q260" s="23" t="str">
        <f>_xlfn.IFNA(IF(SUM(D260:O260)=0,VLOOKUP(C260,DASHBOARD!$L$9:$M$11,2,0)*12,VLOOKUP(C260,DASHBOARD!$L$9:$M$11,2,0)*12-P260),"")</f>
        <v/>
      </c>
      <c r="U260" s="20"/>
      <c r="V260" s="20"/>
      <c r="W260" s="20"/>
      <c r="X260" s="27"/>
      <c r="Y260" s="27"/>
      <c r="Z260" s="27"/>
      <c r="AA260" s="27"/>
      <c r="AB260" s="27"/>
      <c r="AC260" s="27"/>
      <c r="AD260" s="27"/>
      <c r="AE260" s="27"/>
      <c r="AF260" s="27"/>
      <c r="AG260" s="27"/>
      <c r="AH260" s="27"/>
      <c r="AI260" s="27"/>
      <c r="AJ260" s="27"/>
      <c r="AK260" s="23"/>
    </row>
    <row r="261" spans="1:37">
      <c r="A261" s="20"/>
      <c r="B261" s="20"/>
      <c r="C261" s="20"/>
      <c r="D261" s="27"/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27" t="str">
        <f t="shared" ref="P261:P280" si="4">IF(SUM(D261:O261)=0,"",SUM(D261:O261))</f>
        <v/>
      </c>
      <c r="Q261" s="23" t="str">
        <f>_xlfn.IFNA(IF(SUM(D261:O261)=0,VLOOKUP(C261,DASHBOARD!$L$9:$M$11,2,0)*12,VLOOKUP(C261,DASHBOARD!$L$9:$M$11,2,0)*12-P261),"")</f>
        <v/>
      </c>
      <c r="U261" s="20"/>
      <c r="V261" s="20"/>
      <c r="W261" s="20"/>
      <c r="X261" s="27"/>
      <c r="Y261" s="27"/>
      <c r="Z261" s="27"/>
      <c r="AA261" s="27"/>
      <c r="AB261" s="27"/>
      <c r="AC261" s="27"/>
      <c r="AD261" s="27"/>
      <c r="AE261" s="27"/>
      <c r="AF261" s="27"/>
      <c r="AG261" s="27"/>
      <c r="AH261" s="27"/>
      <c r="AI261" s="27"/>
      <c r="AJ261" s="27"/>
      <c r="AK261" s="23"/>
    </row>
    <row r="262" spans="1:37">
      <c r="A262" s="20"/>
      <c r="B262" s="20"/>
      <c r="C262" s="20"/>
      <c r="D262" s="27"/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 t="str">
        <f t="shared" si="4"/>
        <v/>
      </c>
      <c r="Q262" s="23" t="str">
        <f>_xlfn.IFNA(IF(SUM(D262:O262)=0,VLOOKUP(C262,DASHBOARD!$L$9:$M$11,2,0)*12,VLOOKUP(C262,DASHBOARD!$L$9:$M$11,2,0)*12-P262),"")</f>
        <v/>
      </c>
      <c r="U262" s="20"/>
      <c r="V262" s="20"/>
      <c r="W262" s="20"/>
      <c r="X262" s="27"/>
      <c r="Y262" s="27"/>
      <c r="Z262" s="27"/>
      <c r="AA262" s="27"/>
      <c r="AB262" s="27"/>
      <c r="AC262" s="27"/>
      <c r="AD262" s="27"/>
      <c r="AE262" s="27"/>
      <c r="AF262" s="27"/>
      <c r="AG262" s="27"/>
      <c r="AH262" s="27"/>
      <c r="AI262" s="27"/>
      <c r="AJ262" s="27"/>
      <c r="AK262" s="23"/>
    </row>
    <row r="263" spans="1:37">
      <c r="A263" s="20"/>
      <c r="B263" s="20"/>
      <c r="C263" s="20"/>
      <c r="D263" s="27"/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  <c r="P263" s="27" t="str">
        <f t="shared" si="4"/>
        <v/>
      </c>
      <c r="Q263" s="23" t="str">
        <f>_xlfn.IFNA(IF(SUM(D263:O263)=0,VLOOKUP(C263,DASHBOARD!$L$9:$M$11,2,0)*12,VLOOKUP(C263,DASHBOARD!$L$9:$M$11,2,0)*12-P263),"")</f>
        <v/>
      </c>
      <c r="U263" s="20"/>
      <c r="V263" s="20"/>
      <c r="W263" s="20"/>
      <c r="X263" s="27"/>
      <c r="Y263" s="27"/>
      <c r="Z263" s="27"/>
      <c r="AA263" s="27"/>
      <c r="AB263" s="27"/>
      <c r="AC263" s="27"/>
      <c r="AD263" s="27"/>
      <c r="AE263" s="27"/>
      <c r="AF263" s="27"/>
      <c r="AG263" s="27"/>
      <c r="AH263" s="27"/>
      <c r="AI263" s="27"/>
      <c r="AJ263" s="27"/>
      <c r="AK263" s="23"/>
    </row>
    <row r="264" spans="1:37">
      <c r="A264" s="20"/>
      <c r="B264" s="20"/>
      <c r="C264" s="20"/>
      <c r="D264" s="27"/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 t="str">
        <f t="shared" si="4"/>
        <v/>
      </c>
      <c r="Q264" s="23" t="str">
        <f>_xlfn.IFNA(IF(SUM(D264:O264)=0,VLOOKUP(C264,DASHBOARD!$L$9:$M$11,2,0)*12,VLOOKUP(C264,DASHBOARD!$L$9:$M$11,2,0)*12-P264),"")</f>
        <v/>
      </c>
      <c r="U264" s="20"/>
      <c r="V264" s="20"/>
      <c r="W264" s="20"/>
      <c r="X264" s="27"/>
      <c r="Y264" s="27"/>
      <c r="Z264" s="27"/>
      <c r="AA264" s="27"/>
      <c r="AB264" s="27"/>
      <c r="AC264" s="27"/>
      <c r="AD264" s="27"/>
      <c r="AE264" s="27"/>
      <c r="AF264" s="27"/>
      <c r="AG264" s="27"/>
      <c r="AH264" s="27"/>
      <c r="AI264" s="27"/>
      <c r="AJ264" s="27"/>
      <c r="AK264" s="23"/>
    </row>
    <row r="265" spans="1:37">
      <c r="A265" s="20"/>
      <c r="B265" s="20"/>
      <c r="C265" s="20"/>
      <c r="D265" s="27"/>
      <c r="E265" s="27"/>
      <c r="F265" s="27"/>
      <c r="G265" s="27"/>
      <c r="H265" s="27"/>
      <c r="I265" s="27"/>
      <c r="J265" s="27"/>
      <c r="K265" s="27"/>
      <c r="L265" s="27"/>
      <c r="M265" s="27"/>
      <c r="N265" s="27"/>
      <c r="O265" s="27"/>
      <c r="P265" s="27" t="str">
        <f t="shared" si="4"/>
        <v/>
      </c>
      <c r="Q265" s="23" t="str">
        <f>_xlfn.IFNA(IF(SUM(D265:O265)=0,VLOOKUP(C265,DASHBOARD!$L$9:$M$11,2,0)*12,VLOOKUP(C265,DASHBOARD!$L$9:$M$11,2,0)*12-P265),"")</f>
        <v/>
      </c>
      <c r="U265" s="20"/>
      <c r="V265" s="20"/>
      <c r="W265" s="20"/>
      <c r="X265" s="27"/>
      <c r="Y265" s="27"/>
      <c r="Z265" s="27"/>
      <c r="AA265" s="27"/>
      <c r="AB265" s="27"/>
      <c r="AC265" s="27"/>
      <c r="AD265" s="27"/>
      <c r="AE265" s="27"/>
      <c r="AF265" s="27"/>
      <c r="AG265" s="27"/>
      <c r="AH265" s="27"/>
      <c r="AI265" s="27"/>
      <c r="AJ265" s="27"/>
      <c r="AK265" s="23"/>
    </row>
    <row r="266" spans="1:37">
      <c r="A266" s="20"/>
      <c r="B266" s="20"/>
      <c r="C266" s="20"/>
      <c r="D266" s="27"/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 t="str">
        <f t="shared" si="4"/>
        <v/>
      </c>
      <c r="Q266" s="23" t="str">
        <f>_xlfn.IFNA(IF(SUM(D266:O266)=0,VLOOKUP(C266,DASHBOARD!$L$9:$M$11,2,0)*12,VLOOKUP(C266,DASHBOARD!$L$9:$M$11,2,0)*12-P266),"")</f>
        <v/>
      </c>
      <c r="U266" s="20"/>
      <c r="V266" s="20"/>
      <c r="W266" s="20"/>
      <c r="X266" s="27"/>
      <c r="Y266" s="27"/>
      <c r="Z266" s="27"/>
      <c r="AA266" s="27"/>
      <c r="AB266" s="27"/>
      <c r="AC266" s="27"/>
      <c r="AD266" s="27"/>
      <c r="AE266" s="27"/>
      <c r="AF266" s="27"/>
      <c r="AG266" s="27"/>
      <c r="AH266" s="27"/>
      <c r="AI266" s="27"/>
      <c r="AJ266" s="27"/>
      <c r="AK266" s="23"/>
    </row>
    <row r="267" spans="1:37">
      <c r="A267" s="20"/>
      <c r="B267" s="20"/>
      <c r="C267" s="20"/>
      <c r="D267" s="27"/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P267" s="27" t="str">
        <f t="shared" si="4"/>
        <v/>
      </c>
      <c r="Q267" s="23" t="str">
        <f>_xlfn.IFNA(IF(SUM(D267:O267)=0,VLOOKUP(C267,DASHBOARD!$L$9:$M$11,2,0)*12,VLOOKUP(C267,DASHBOARD!$L$9:$M$11,2,0)*12-P267),"")</f>
        <v/>
      </c>
      <c r="U267" s="20"/>
      <c r="V267" s="20"/>
      <c r="W267" s="20"/>
      <c r="X267" s="27"/>
      <c r="Y267" s="27"/>
      <c r="Z267" s="27"/>
      <c r="AA267" s="27"/>
      <c r="AB267" s="27"/>
      <c r="AC267" s="27"/>
      <c r="AD267" s="27"/>
      <c r="AE267" s="27"/>
      <c r="AF267" s="27"/>
      <c r="AG267" s="27"/>
      <c r="AH267" s="27"/>
      <c r="AI267" s="27"/>
      <c r="AJ267" s="27"/>
      <c r="AK267" s="23"/>
    </row>
    <row r="268" spans="1:37">
      <c r="A268" s="20"/>
      <c r="B268" s="20"/>
      <c r="C268" s="20"/>
      <c r="D268" s="27"/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 t="str">
        <f t="shared" si="4"/>
        <v/>
      </c>
      <c r="Q268" s="23" t="str">
        <f>_xlfn.IFNA(IF(SUM(D268:O268)=0,VLOOKUP(C268,DASHBOARD!$L$9:$M$11,2,0)*12,VLOOKUP(C268,DASHBOARD!$L$9:$M$11,2,0)*12-P268),"")</f>
        <v/>
      </c>
      <c r="U268" s="20"/>
      <c r="V268" s="20"/>
      <c r="W268" s="20"/>
      <c r="X268" s="27"/>
      <c r="Y268" s="27"/>
      <c r="Z268" s="27"/>
      <c r="AA268" s="27"/>
      <c r="AB268" s="27"/>
      <c r="AC268" s="27"/>
      <c r="AD268" s="27"/>
      <c r="AE268" s="27"/>
      <c r="AF268" s="27"/>
      <c r="AG268" s="27"/>
      <c r="AH268" s="27"/>
      <c r="AI268" s="27"/>
      <c r="AJ268" s="27"/>
      <c r="AK268" s="23"/>
    </row>
    <row r="269" spans="1:37">
      <c r="A269" s="20"/>
      <c r="B269" s="20"/>
      <c r="C269" s="20"/>
      <c r="D269" s="27"/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  <c r="P269" s="27" t="str">
        <f t="shared" si="4"/>
        <v/>
      </c>
      <c r="Q269" s="23" t="str">
        <f>_xlfn.IFNA(IF(SUM(D269:O269)=0,VLOOKUP(C269,DASHBOARD!$L$9:$M$11,2,0)*12,VLOOKUP(C269,DASHBOARD!$L$9:$M$11,2,0)*12-P269),"")</f>
        <v/>
      </c>
      <c r="U269" s="20"/>
      <c r="V269" s="20"/>
      <c r="W269" s="20"/>
      <c r="X269" s="27"/>
      <c r="Y269" s="27"/>
      <c r="Z269" s="27"/>
      <c r="AA269" s="27"/>
      <c r="AB269" s="27"/>
      <c r="AC269" s="27"/>
      <c r="AD269" s="27"/>
      <c r="AE269" s="27"/>
      <c r="AF269" s="27"/>
      <c r="AG269" s="27"/>
      <c r="AH269" s="27"/>
      <c r="AI269" s="27"/>
      <c r="AJ269" s="27"/>
      <c r="AK269" s="23"/>
    </row>
    <row r="270" spans="1:37">
      <c r="A270" s="20"/>
      <c r="B270" s="20"/>
      <c r="C270" s="20"/>
      <c r="D270" s="27"/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 t="str">
        <f t="shared" si="4"/>
        <v/>
      </c>
      <c r="Q270" s="23" t="str">
        <f>_xlfn.IFNA(IF(SUM(D270:O270)=0,VLOOKUP(C270,DASHBOARD!$L$9:$M$11,2,0)*12,VLOOKUP(C270,DASHBOARD!$L$9:$M$11,2,0)*12-P270),"")</f>
        <v/>
      </c>
      <c r="U270" s="20"/>
      <c r="V270" s="20"/>
      <c r="W270" s="20"/>
      <c r="X270" s="27"/>
      <c r="Y270" s="27"/>
      <c r="Z270" s="27"/>
      <c r="AA270" s="27"/>
      <c r="AB270" s="27"/>
      <c r="AC270" s="27"/>
      <c r="AD270" s="27"/>
      <c r="AE270" s="27"/>
      <c r="AF270" s="27"/>
      <c r="AG270" s="27"/>
      <c r="AH270" s="27"/>
      <c r="AI270" s="27"/>
      <c r="AJ270" s="27"/>
      <c r="AK270" s="23"/>
    </row>
    <row r="271" spans="1:37">
      <c r="A271" s="20"/>
      <c r="B271" s="20"/>
      <c r="C271" s="20"/>
      <c r="D271" s="27"/>
      <c r="E271" s="27"/>
      <c r="F271" s="27"/>
      <c r="G271" s="27"/>
      <c r="H271" s="27"/>
      <c r="I271" s="27"/>
      <c r="J271" s="27"/>
      <c r="K271" s="27"/>
      <c r="L271" s="27"/>
      <c r="M271" s="27"/>
      <c r="N271" s="27"/>
      <c r="O271" s="27"/>
      <c r="P271" s="27" t="str">
        <f t="shared" si="4"/>
        <v/>
      </c>
      <c r="Q271" s="23" t="str">
        <f>_xlfn.IFNA(IF(SUM(D271:O271)=0,VLOOKUP(C271,DASHBOARD!$L$9:$M$11,2,0)*12,VLOOKUP(C271,DASHBOARD!$L$9:$M$11,2,0)*12-P271),"")</f>
        <v/>
      </c>
      <c r="U271" s="20"/>
      <c r="V271" s="20"/>
      <c r="W271" s="20"/>
      <c r="X271" s="27"/>
      <c r="Y271" s="27"/>
      <c r="Z271" s="27"/>
      <c r="AA271" s="27"/>
      <c r="AB271" s="27"/>
      <c r="AC271" s="27"/>
      <c r="AD271" s="27"/>
      <c r="AE271" s="27"/>
      <c r="AF271" s="27"/>
      <c r="AG271" s="27"/>
      <c r="AH271" s="27"/>
      <c r="AI271" s="27"/>
      <c r="AJ271" s="27"/>
      <c r="AK271" s="23"/>
    </row>
    <row r="272" spans="1:37">
      <c r="A272" s="20"/>
      <c r="B272" s="20"/>
      <c r="C272" s="20"/>
      <c r="D272" s="27"/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7" t="str">
        <f t="shared" si="4"/>
        <v/>
      </c>
      <c r="Q272" s="23" t="str">
        <f>_xlfn.IFNA(IF(SUM(D272:O272)=0,VLOOKUP(C272,DASHBOARD!$L$9:$M$11,2,0)*12,VLOOKUP(C272,DASHBOARD!$L$9:$M$11,2,0)*12-P272),"")</f>
        <v/>
      </c>
      <c r="U272" s="20"/>
      <c r="V272" s="20"/>
      <c r="W272" s="20"/>
      <c r="X272" s="27"/>
      <c r="Y272" s="27"/>
      <c r="Z272" s="27"/>
      <c r="AA272" s="27"/>
      <c r="AB272" s="27"/>
      <c r="AC272" s="27"/>
      <c r="AD272" s="27"/>
      <c r="AE272" s="27"/>
      <c r="AF272" s="27"/>
      <c r="AG272" s="27"/>
      <c r="AH272" s="27"/>
      <c r="AI272" s="27"/>
      <c r="AJ272" s="27"/>
      <c r="AK272" s="23"/>
    </row>
    <row r="273" spans="1:37">
      <c r="A273" s="20"/>
      <c r="B273" s="20"/>
      <c r="C273" s="20"/>
      <c r="D273" s="27"/>
      <c r="E273" s="27"/>
      <c r="F273" s="27"/>
      <c r="G273" s="27"/>
      <c r="H273" s="27"/>
      <c r="I273" s="27"/>
      <c r="J273" s="27"/>
      <c r="K273" s="27"/>
      <c r="L273" s="27"/>
      <c r="M273" s="27"/>
      <c r="N273" s="27"/>
      <c r="O273" s="27"/>
      <c r="P273" s="27" t="str">
        <f t="shared" si="4"/>
        <v/>
      </c>
      <c r="Q273" s="23" t="str">
        <f>_xlfn.IFNA(IF(SUM(D273:O273)=0,VLOOKUP(C273,DASHBOARD!$L$9:$M$11,2,0)*12,VLOOKUP(C273,DASHBOARD!$L$9:$M$11,2,0)*12-P273),"")</f>
        <v/>
      </c>
      <c r="U273" s="20"/>
      <c r="V273" s="20"/>
      <c r="W273" s="20"/>
      <c r="X273" s="27"/>
      <c r="Y273" s="27"/>
      <c r="Z273" s="27"/>
      <c r="AA273" s="27"/>
      <c r="AB273" s="27"/>
      <c r="AC273" s="27"/>
      <c r="AD273" s="27"/>
      <c r="AE273" s="27"/>
      <c r="AF273" s="27"/>
      <c r="AG273" s="27"/>
      <c r="AH273" s="27"/>
      <c r="AI273" s="27"/>
      <c r="AJ273" s="27"/>
      <c r="AK273" s="23"/>
    </row>
    <row r="274" spans="1:37">
      <c r="A274" s="20"/>
      <c r="B274" s="20"/>
      <c r="C274" s="20"/>
      <c r="D274" s="27"/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P274" s="27" t="str">
        <f t="shared" si="4"/>
        <v/>
      </c>
      <c r="Q274" s="23" t="str">
        <f>_xlfn.IFNA(IF(SUM(D274:O274)=0,VLOOKUP(C274,DASHBOARD!$L$9:$M$11,2,0)*12,VLOOKUP(C274,DASHBOARD!$L$9:$M$11,2,0)*12-P274),"")</f>
        <v/>
      </c>
      <c r="U274" s="20"/>
      <c r="V274" s="20"/>
      <c r="W274" s="20"/>
      <c r="X274" s="27"/>
      <c r="Y274" s="27"/>
      <c r="Z274" s="27"/>
      <c r="AA274" s="27"/>
      <c r="AB274" s="27"/>
      <c r="AC274" s="27"/>
      <c r="AD274" s="27"/>
      <c r="AE274" s="27"/>
      <c r="AF274" s="27"/>
      <c r="AG274" s="27"/>
      <c r="AH274" s="27"/>
      <c r="AI274" s="27"/>
      <c r="AJ274" s="27"/>
      <c r="AK274" s="23"/>
    </row>
    <row r="275" spans="1:37">
      <c r="A275" s="20"/>
      <c r="B275" s="20"/>
      <c r="C275" s="20"/>
      <c r="D275" s="27"/>
      <c r="E275" s="27"/>
      <c r="F275" s="27"/>
      <c r="G275" s="27"/>
      <c r="H275" s="27"/>
      <c r="I275" s="27"/>
      <c r="J275" s="27"/>
      <c r="K275" s="27"/>
      <c r="L275" s="27"/>
      <c r="M275" s="27"/>
      <c r="N275" s="27"/>
      <c r="O275" s="27"/>
      <c r="P275" s="27" t="str">
        <f t="shared" si="4"/>
        <v/>
      </c>
      <c r="Q275" s="23" t="str">
        <f>_xlfn.IFNA(IF(SUM(D275:O275)=0,VLOOKUP(C275,DASHBOARD!$L$9:$M$11,2,0)*12,VLOOKUP(C275,DASHBOARD!$L$9:$M$11,2,0)*12-P275),"")</f>
        <v/>
      </c>
      <c r="U275" s="20"/>
      <c r="V275" s="20"/>
      <c r="W275" s="20"/>
      <c r="X275" s="27"/>
      <c r="Y275" s="27"/>
      <c r="Z275" s="27"/>
      <c r="AA275" s="27"/>
      <c r="AB275" s="27"/>
      <c r="AC275" s="27"/>
      <c r="AD275" s="27"/>
      <c r="AE275" s="27"/>
      <c r="AF275" s="27"/>
      <c r="AG275" s="27"/>
      <c r="AH275" s="27"/>
      <c r="AI275" s="27"/>
      <c r="AJ275" s="27"/>
      <c r="AK275" s="23"/>
    </row>
    <row r="276" spans="1:37">
      <c r="A276" s="20"/>
      <c r="B276" s="20"/>
      <c r="C276" s="20"/>
      <c r="D276" s="27"/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 t="str">
        <f t="shared" si="4"/>
        <v/>
      </c>
      <c r="Q276" s="23" t="str">
        <f>_xlfn.IFNA(IF(SUM(D276:O276)=0,VLOOKUP(C276,DASHBOARD!$L$9:$M$11,2,0)*12,VLOOKUP(C276,DASHBOARD!$L$9:$M$11,2,0)*12-P276),"")</f>
        <v/>
      </c>
      <c r="U276" s="20"/>
      <c r="V276" s="20"/>
      <c r="W276" s="20"/>
      <c r="X276" s="27"/>
      <c r="Y276" s="27"/>
      <c r="Z276" s="27"/>
      <c r="AA276" s="27"/>
      <c r="AB276" s="27"/>
      <c r="AC276" s="27"/>
      <c r="AD276" s="27"/>
      <c r="AE276" s="27"/>
      <c r="AF276" s="27"/>
      <c r="AG276" s="27"/>
      <c r="AH276" s="27"/>
      <c r="AI276" s="27"/>
      <c r="AJ276" s="27"/>
      <c r="AK276" s="23"/>
    </row>
    <row r="277" spans="1:37">
      <c r="A277" s="20"/>
      <c r="B277" s="20"/>
      <c r="C277" s="20"/>
      <c r="D277" s="27"/>
      <c r="E277" s="27"/>
      <c r="F277" s="27"/>
      <c r="G277" s="27"/>
      <c r="H277" s="27"/>
      <c r="I277" s="27"/>
      <c r="J277" s="27"/>
      <c r="K277" s="27"/>
      <c r="L277" s="27"/>
      <c r="M277" s="27"/>
      <c r="N277" s="27"/>
      <c r="O277" s="27"/>
      <c r="P277" s="27" t="str">
        <f t="shared" si="4"/>
        <v/>
      </c>
      <c r="Q277" s="23" t="str">
        <f>_xlfn.IFNA(IF(SUM(D277:O277)=0,VLOOKUP(C277,DASHBOARD!$L$9:$M$11,2,0)*12,VLOOKUP(C277,DASHBOARD!$L$9:$M$11,2,0)*12-P277),"")</f>
        <v/>
      </c>
      <c r="U277" s="20"/>
      <c r="V277" s="20"/>
      <c r="W277" s="20"/>
      <c r="X277" s="27"/>
      <c r="Y277" s="27"/>
      <c r="Z277" s="27"/>
      <c r="AA277" s="27"/>
      <c r="AB277" s="27"/>
      <c r="AC277" s="27"/>
      <c r="AD277" s="27"/>
      <c r="AE277" s="27"/>
      <c r="AF277" s="27"/>
      <c r="AG277" s="27"/>
      <c r="AH277" s="27"/>
      <c r="AI277" s="27"/>
      <c r="AJ277" s="27"/>
      <c r="AK277" s="23"/>
    </row>
    <row r="278" spans="1:37">
      <c r="A278" s="20"/>
      <c r="B278" s="20"/>
      <c r="C278" s="20"/>
      <c r="D278" s="27"/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 t="str">
        <f t="shared" si="4"/>
        <v/>
      </c>
      <c r="Q278" s="23" t="str">
        <f>_xlfn.IFNA(IF(SUM(D278:O278)=0,VLOOKUP(C278,DASHBOARD!$L$9:$M$11,2,0)*12,VLOOKUP(C278,DASHBOARD!$L$9:$M$11,2,0)*12-P278),"")</f>
        <v/>
      </c>
      <c r="U278" s="20"/>
      <c r="V278" s="20"/>
      <c r="W278" s="20"/>
      <c r="X278" s="27"/>
      <c r="Y278" s="27"/>
      <c r="Z278" s="27"/>
      <c r="AA278" s="27"/>
      <c r="AB278" s="27"/>
      <c r="AC278" s="27"/>
      <c r="AD278" s="27"/>
      <c r="AE278" s="27"/>
      <c r="AF278" s="27"/>
      <c r="AG278" s="27"/>
      <c r="AH278" s="27"/>
      <c r="AI278" s="27"/>
      <c r="AJ278" s="27"/>
      <c r="AK278" s="23"/>
    </row>
    <row r="279" spans="1:37">
      <c r="A279" s="20"/>
      <c r="B279" s="20"/>
      <c r="C279" s="20"/>
      <c r="D279" s="27"/>
      <c r="E279" s="27"/>
      <c r="F279" s="27"/>
      <c r="G279" s="27"/>
      <c r="H279" s="27"/>
      <c r="I279" s="27"/>
      <c r="J279" s="27"/>
      <c r="K279" s="27"/>
      <c r="L279" s="27"/>
      <c r="M279" s="27"/>
      <c r="N279" s="27"/>
      <c r="O279" s="27"/>
      <c r="P279" s="27" t="str">
        <f t="shared" si="4"/>
        <v/>
      </c>
      <c r="Q279" s="23" t="str">
        <f>_xlfn.IFNA(IF(SUM(D279:O279)=0,VLOOKUP(C279,DASHBOARD!$L$9:$M$11,2,0)*12,VLOOKUP(C279,DASHBOARD!$L$9:$M$11,2,0)*12-P279),"")</f>
        <v/>
      </c>
      <c r="U279" s="20"/>
      <c r="V279" s="20"/>
      <c r="W279" s="20"/>
      <c r="X279" s="27"/>
      <c r="Y279" s="27"/>
      <c r="Z279" s="27"/>
      <c r="AA279" s="27"/>
      <c r="AB279" s="27"/>
      <c r="AC279" s="27"/>
      <c r="AD279" s="27"/>
      <c r="AE279" s="27"/>
      <c r="AF279" s="27"/>
      <c r="AG279" s="27"/>
      <c r="AH279" s="27"/>
      <c r="AI279" s="27"/>
      <c r="AJ279" s="27"/>
      <c r="AK279" s="23"/>
    </row>
    <row r="280" spans="1:37">
      <c r="A280" s="20"/>
      <c r="B280" s="20"/>
      <c r="C280" s="20"/>
      <c r="D280" s="27"/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 t="str">
        <f t="shared" si="4"/>
        <v/>
      </c>
      <c r="Q280" s="23" t="str">
        <f>_xlfn.IFNA(IF(SUM(D280:O280)=0,VLOOKUP(C280,DASHBOARD!$L$9:$M$11,2,0)*12,VLOOKUP(C280,DASHBOARD!$L$9:$M$11,2,0)*12-P280),"")</f>
        <v/>
      </c>
      <c r="U280" s="20"/>
      <c r="V280" s="20"/>
      <c r="W280" s="20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3"/>
    </row>
    <row r="281" spans="1:37">
      <c r="D281" s="27"/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  <c r="P281" s="20"/>
    </row>
    <row r="282" spans="1:37">
      <c r="D282" s="27"/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0"/>
    </row>
    <row r="283" spans="1:37">
      <c r="D283" s="27"/>
      <c r="E283" s="27"/>
      <c r="F283" s="27"/>
      <c r="G283" s="27"/>
      <c r="H283" s="27"/>
      <c r="I283" s="27"/>
      <c r="J283" s="27"/>
      <c r="K283" s="27"/>
      <c r="L283" s="27"/>
      <c r="M283" s="27"/>
      <c r="N283" s="27"/>
      <c r="O283" s="27"/>
      <c r="P283" s="20"/>
    </row>
    <row r="284" spans="1:37">
      <c r="D284" s="27"/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0"/>
    </row>
    <row r="285" spans="1:37">
      <c r="P285" s="20"/>
    </row>
    <row r="286" spans="1:37">
      <c r="P286" s="20"/>
    </row>
    <row r="287" spans="1:37">
      <c r="P287" s="20"/>
    </row>
    <row r="288" spans="1:37">
      <c r="P288" s="20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P25"/>
  <sheetViews>
    <sheetView showGridLines="0" showRowColHeaders="0" workbookViewId="0">
      <selection activeCell="H4" sqref="H4"/>
    </sheetView>
  </sheetViews>
  <sheetFormatPr defaultRowHeight="15"/>
  <cols>
    <col min="1" max="1" width="17.85546875" customWidth="1"/>
    <col min="2" max="2" width="12.42578125" customWidth="1"/>
    <col min="3" max="3" width="23.28515625" customWidth="1"/>
    <col min="4" max="4" width="12.140625" bestFit="1" customWidth="1"/>
    <col min="5" max="5" width="14.5703125" bestFit="1" customWidth="1"/>
    <col min="6" max="6" width="12.85546875" customWidth="1"/>
    <col min="7" max="7" width="2.42578125" customWidth="1"/>
    <col min="8" max="9" width="11.7109375" style="43" customWidth="1"/>
    <col min="10" max="10" width="2.5703125" customWidth="1"/>
    <col min="11" max="11" width="15.85546875" bestFit="1" customWidth="1"/>
    <col min="12" max="12" width="13.28515625" customWidth="1"/>
    <col min="13" max="13" width="14.7109375" bestFit="1" customWidth="1"/>
    <col min="14" max="14" width="11.7109375" bestFit="1" customWidth="1"/>
    <col min="15" max="15" width="14.5703125" bestFit="1" customWidth="1"/>
    <col min="16" max="16" width="15.140625" customWidth="1"/>
  </cols>
  <sheetData>
    <row r="2" spans="1:16" ht="16.5" thickBot="1">
      <c r="A2" s="32" t="s">
        <v>58</v>
      </c>
      <c r="B2" s="33"/>
      <c r="C2" s="33"/>
      <c r="D2" s="33"/>
    </row>
    <row r="4" spans="1:16">
      <c r="A4" s="28" t="s">
        <v>21</v>
      </c>
      <c r="B4" s="28" t="s">
        <v>8</v>
      </c>
      <c r="C4" s="28" t="s">
        <v>22</v>
      </c>
      <c r="D4" s="29" t="s">
        <v>48</v>
      </c>
      <c r="E4" s="28" t="s">
        <v>23</v>
      </c>
      <c r="F4" s="28" t="s">
        <v>24</v>
      </c>
      <c r="H4" s="42" t="s">
        <v>8</v>
      </c>
      <c r="I4" s="42" t="s">
        <v>22</v>
      </c>
      <c r="K4" s="1" t="s">
        <v>21</v>
      </c>
      <c r="L4" s="1" t="s">
        <v>8</v>
      </c>
      <c r="M4" s="1" t="s">
        <v>22</v>
      </c>
      <c r="N4" s="2" t="s">
        <v>48</v>
      </c>
      <c r="O4" s="1" t="s">
        <v>23</v>
      </c>
      <c r="P4" s="1" t="s">
        <v>24</v>
      </c>
    </row>
    <row r="5" spans="1:16">
      <c r="A5" t="s">
        <v>25</v>
      </c>
      <c r="B5" t="s">
        <v>50</v>
      </c>
      <c r="C5" t="s">
        <v>28</v>
      </c>
      <c r="D5" t="s">
        <v>71</v>
      </c>
      <c r="E5">
        <v>50000</v>
      </c>
      <c r="F5" s="3">
        <v>44147</v>
      </c>
      <c r="H5" s="43" t="s">
        <v>50</v>
      </c>
      <c r="K5" t="s">
        <v>25</v>
      </c>
      <c r="L5" t="s">
        <v>50</v>
      </c>
      <c r="M5" t="s">
        <v>28</v>
      </c>
      <c r="N5" t="s">
        <v>71</v>
      </c>
      <c r="O5">
        <v>50000</v>
      </c>
      <c r="P5" s="3">
        <v>44147</v>
      </c>
    </row>
    <row r="6" spans="1:16">
      <c r="A6" t="s">
        <v>27</v>
      </c>
      <c r="B6" t="s">
        <v>50</v>
      </c>
      <c r="C6" t="s">
        <v>59</v>
      </c>
      <c r="D6" t="s">
        <v>75</v>
      </c>
      <c r="E6">
        <v>100000</v>
      </c>
      <c r="F6" s="3">
        <v>44147</v>
      </c>
      <c r="K6" t="s">
        <v>27</v>
      </c>
      <c r="L6" t="s">
        <v>50</v>
      </c>
      <c r="M6" t="s">
        <v>59</v>
      </c>
      <c r="N6" t="s">
        <v>75</v>
      </c>
      <c r="O6">
        <v>100000</v>
      </c>
      <c r="P6" s="3">
        <v>44147</v>
      </c>
    </row>
    <row r="7" spans="1:16">
      <c r="A7" t="s">
        <v>29</v>
      </c>
      <c r="B7" t="s">
        <v>50</v>
      </c>
      <c r="C7" t="s">
        <v>67</v>
      </c>
      <c r="D7" t="s">
        <v>83</v>
      </c>
      <c r="E7">
        <v>50000</v>
      </c>
      <c r="F7" s="3">
        <v>44147</v>
      </c>
      <c r="H7" s="44" t="s">
        <v>30</v>
      </c>
      <c r="K7" t="s">
        <v>29</v>
      </c>
      <c r="L7" t="s">
        <v>50</v>
      </c>
      <c r="M7" t="s">
        <v>67</v>
      </c>
      <c r="N7" t="s">
        <v>83</v>
      </c>
      <c r="O7">
        <v>50000</v>
      </c>
      <c r="P7" s="3">
        <v>44147</v>
      </c>
    </row>
    <row r="8" spans="1:16">
      <c r="A8" t="s">
        <v>31</v>
      </c>
      <c r="B8" t="s">
        <v>51</v>
      </c>
      <c r="C8" t="s">
        <v>26</v>
      </c>
      <c r="D8" t="s">
        <v>72</v>
      </c>
      <c r="E8">
        <v>55000</v>
      </c>
      <c r="F8" s="3">
        <v>44147</v>
      </c>
      <c r="H8" s="45">
        <v>10</v>
      </c>
      <c r="K8" t="s">
        <v>108</v>
      </c>
      <c r="L8" t="s">
        <v>50</v>
      </c>
      <c r="M8" t="s">
        <v>59</v>
      </c>
      <c r="N8" t="s">
        <v>75</v>
      </c>
      <c r="O8">
        <v>50000</v>
      </c>
      <c r="P8" s="3">
        <v>44148</v>
      </c>
    </row>
    <row r="9" spans="1:16">
      <c r="A9" t="s">
        <v>32</v>
      </c>
      <c r="B9" t="s">
        <v>51</v>
      </c>
      <c r="C9" t="s">
        <v>47</v>
      </c>
      <c r="D9" t="s">
        <v>73</v>
      </c>
      <c r="E9">
        <v>55000</v>
      </c>
      <c r="F9" s="3">
        <v>44147</v>
      </c>
      <c r="P9" s="3"/>
    </row>
    <row r="10" spans="1:16">
      <c r="A10" t="s">
        <v>33</v>
      </c>
      <c r="B10" t="s">
        <v>51</v>
      </c>
      <c r="C10" t="s">
        <v>65</v>
      </c>
      <c r="D10" t="s">
        <v>81</v>
      </c>
      <c r="E10">
        <v>55000</v>
      </c>
      <c r="F10" s="3">
        <v>44147</v>
      </c>
      <c r="P10" s="3"/>
    </row>
    <row r="11" spans="1:16">
      <c r="A11" t="s">
        <v>100</v>
      </c>
      <c r="B11" t="s">
        <v>52</v>
      </c>
      <c r="C11" t="s">
        <v>62</v>
      </c>
      <c r="D11" t="s">
        <v>78</v>
      </c>
      <c r="E11">
        <v>120000</v>
      </c>
      <c r="F11" s="3">
        <v>44147</v>
      </c>
      <c r="P11" s="3"/>
    </row>
    <row r="12" spans="1:16">
      <c r="A12" t="s">
        <v>108</v>
      </c>
      <c r="B12" t="s">
        <v>50</v>
      </c>
      <c r="C12" t="s">
        <v>59</v>
      </c>
      <c r="D12" t="s">
        <v>75</v>
      </c>
      <c r="E12">
        <v>50000</v>
      </c>
      <c r="F12" s="3">
        <v>44148</v>
      </c>
      <c r="P12" s="3"/>
    </row>
    <row r="13" spans="1:16">
      <c r="A13" t="s">
        <v>109</v>
      </c>
      <c r="B13" t="s">
        <v>51</v>
      </c>
      <c r="C13" t="s">
        <v>64</v>
      </c>
      <c r="D13" t="s">
        <v>80</v>
      </c>
      <c r="E13">
        <v>165000</v>
      </c>
      <c r="F13" s="3">
        <v>44148</v>
      </c>
      <c r="P13" s="3"/>
    </row>
    <row r="14" spans="1:16">
      <c r="A14" t="s">
        <v>110</v>
      </c>
      <c r="B14" t="s">
        <v>51</v>
      </c>
      <c r="C14" t="s">
        <v>60</v>
      </c>
      <c r="D14" t="s">
        <v>76</v>
      </c>
      <c r="E14">
        <v>55000</v>
      </c>
      <c r="F14" s="3">
        <v>44148</v>
      </c>
    </row>
    <row r="15" spans="1:16">
      <c r="F15" s="3"/>
    </row>
    <row r="16" spans="1:16">
      <c r="F16" s="3"/>
    </row>
    <row r="17" spans="6:6">
      <c r="F17" s="3"/>
    </row>
    <row r="22" spans="6:6">
      <c r="F22" s="3"/>
    </row>
    <row r="23" spans="6:6">
      <c r="F23" s="3"/>
    </row>
    <row r="24" spans="6:6">
      <c r="F24" s="3"/>
    </row>
    <row r="25" spans="6:6">
      <c r="F25" s="3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R22"/>
  <sheetViews>
    <sheetView showGridLines="0" showRowColHeaders="0" workbookViewId="0">
      <selection activeCell="O17" sqref="O17"/>
    </sheetView>
  </sheetViews>
  <sheetFormatPr defaultRowHeight="15"/>
  <cols>
    <col min="1" max="1" width="2.7109375" customWidth="1"/>
    <col min="2" max="2" width="4.140625" customWidth="1"/>
    <col min="3" max="3" width="13.140625" customWidth="1"/>
    <col min="4" max="4" width="10.42578125" customWidth="1"/>
    <col min="5" max="5" width="7.42578125" customWidth="1"/>
    <col min="11" max="11" width="9.85546875" bestFit="1" customWidth="1"/>
    <col min="13" max="13" width="9.85546875" customWidth="1"/>
    <col min="14" max="14" width="5.42578125" customWidth="1"/>
    <col min="16" max="16" width="10.85546875" bestFit="1" customWidth="1"/>
    <col min="18" max="18" width="11.28515625" customWidth="1"/>
  </cols>
  <sheetData>
    <row r="1" spans="2:18" ht="41.25" customHeight="1" thickBot="1"/>
    <row r="2" spans="2:18" ht="15.75" thickBot="1">
      <c r="B2" s="4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6"/>
      <c r="P2" s="47" t="s">
        <v>102</v>
      </c>
      <c r="Q2" s="49" t="s">
        <v>103</v>
      </c>
      <c r="R2" s="47" t="s">
        <v>104</v>
      </c>
    </row>
    <row r="3" spans="2:18" ht="18">
      <c r="B3" s="7"/>
      <c r="C3" s="67" t="s">
        <v>111</v>
      </c>
      <c r="D3" s="68"/>
      <c r="E3" s="68"/>
      <c r="F3" s="68"/>
      <c r="G3" s="68"/>
      <c r="H3" s="68"/>
      <c r="I3" s="68"/>
      <c r="J3" s="68"/>
      <c r="K3" s="68"/>
      <c r="L3" s="68"/>
      <c r="M3" s="69"/>
      <c r="N3" s="8"/>
      <c r="P3" s="46" t="s">
        <v>9</v>
      </c>
      <c r="Q3" s="48"/>
      <c r="R3" s="46" t="str">
        <f>IF(Q3=TRUE,P3,"")</f>
        <v/>
      </c>
    </row>
    <row r="4" spans="2:18">
      <c r="B4" s="7"/>
      <c r="C4" s="70" t="s">
        <v>113</v>
      </c>
      <c r="D4" s="71"/>
      <c r="E4" s="71"/>
      <c r="F4" s="71"/>
      <c r="G4" s="71"/>
      <c r="H4" s="71"/>
      <c r="I4" s="71"/>
      <c r="J4" s="71"/>
      <c r="K4" s="71"/>
      <c r="L4" s="71"/>
      <c r="M4" s="72"/>
      <c r="N4" s="9"/>
      <c r="P4" s="46" t="s">
        <v>10</v>
      </c>
      <c r="Q4" s="48"/>
      <c r="R4" s="46" t="str">
        <f t="shared" ref="R4:R14" si="0">IF(Q4=TRUE,P4,"")</f>
        <v/>
      </c>
    </row>
    <row r="5" spans="2:18" ht="15.75" thickBot="1">
      <c r="B5" s="7"/>
      <c r="C5" s="73" t="s">
        <v>34</v>
      </c>
      <c r="D5" s="74"/>
      <c r="E5" s="74"/>
      <c r="F5" s="74"/>
      <c r="G5" s="74"/>
      <c r="H5" s="74"/>
      <c r="I5" s="74"/>
      <c r="J5" s="74"/>
      <c r="K5" s="74"/>
      <c r="L5" s="74"/>
      <c r="M5" s="75"/>
      <c r="N5" s="9"/>
      <c r="P5" s="46" t="s">
        <v>11</v>
      </c>
      <c r="Q5" s="48"/>
      <c r="R5" s="46" t="str">
        <f t="shared" si="0"/>
        <v/>
      </c>
    </row>
    <row r="6" spans="2:18">
      <c r="B6" s="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1"/>
      <c r="P6" s="46" t="s">
        <v>12</v>
      </c>
      <c r="Q6" s="48"/>
      <c r="R6" s="46" t="str">
        <f t="shared" si="0"/>
        <v/>
      </c>
    </row>
    <row r="7" spans="2:18" ht="16.5">
      <c r="B7" s="7"/>
      <c r="C7" s="12" t="s">
        <v>35</v>
      </c>
      <c r="D7" s="76"/>
      <c r="E7" s="76"/>
      <c r="F7" s="54" t="s">
        <v>36</v>
      </c>
      <c r="G7" s="54"/>
      <c r="H7" s="77">
        <f ca="1">TODAY()</f>
        <v>44258</v>
      </c>
      <c r="I7" s="77"/>
      <c r="J7" s="54" t="s">
        <v>37</v>
      </c>
      <c r="K7" s="54"/>
      <c r="L7" s="76"/>
      <c r="M7" s="76"/>
      <c r="N7" s="11"/>
      <c r="P7" s="46" t="s">
        <v>13</v>
      </c>
      <c r="Q7" s="48"/>
      <c r="R7" s="46" t="str">
        <f t="shared" si="0"/>
        <v/>
      </c>
    </row>
    <row r="8" spans="2:18" ht="16.5">
      <c r="B8" s="7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1"/>
      <c r="P8" s="46" t="s">
        <v>14</v>
      </c>
      <c r="Q8" s="48"/>
      <c r="R8" s="46" t="str">
        <f t="shared" si="0"/>
        <v/>
      </c>
    </row>
    <row r="9" spans="2:18" ht="16.5">
      <c r="B9" s="7"/>
      <c r="C9" s="14" t="s">
        <v>0</v>
      </c>
      <c r="D9" s="53"/>
      <c r="E9" s="53"/>
      <c r="F9" s="53"/>
      <c r="G9" s="53"/>
      <c r="H9" s="13"/>
      <c r="I9" s="54" t="s">
        <v>38</v>
      </c>
      <c r="J9" s="54"/>
      <c r="K9" s="55"/>
      <c r="L9" s="55"/>
      <c r="M9" s="55"/>
      <c r="N9" s="11"/>
      <c r="P9" s="46" t="s">
        <v>15</v>
      </c>
      <c r="Q9" s="48"/>
      <c r="R9" s="46" t="str">
        <f t="shared" si="0"/>
        <v/>
      </c>
    </row>
    <row r="10" spans="2:18" ht="16.5">
      <c r="B10" s="7"/>
      <c r="C10" s="14" t="s">
        <v>2</v>
      </c>
      <c r="D10" s="56"/>
      <c r="E10" s="56"/>
      <c r="F10" s="56"/>
      <c r="G10" s="56"/>
      <c r="H10" s="13"/>
      <c r="I10" s="54" t="s">
        <v>39</v>
      </c>
      <c r="J10" s="54"/>
      <c r="K10" s="57"/>
      <c r="L10" s="57"/>
      <c r="M10" s="57"/>
      <c r="N10" s="11"/>
      <c r="P10" s="46" t="s">
        <v>16</v>
      </c>
      <c r="Q10" s="48"/>
      <c r="R10" s="46" t="str">
        <f t="shared" si="0"/>
        <v/>
      </c>
    </row>
    <row r="11" spans="2:18" ht="16.5">
      <c r="B11" s="7"/>
      <c r="C11" s="14" t="s">
        <v>40</v>
      </c>
      <c r="D11" s="56"/>
      <c r="E11" s="56"/>
      <c r="F11" s="56"/>
      <c r="G11" s="56"/>
      <c r="H11" s="13"/>
      <c r="I11" s="54"/>
      <c r="J11" s="54"/>
      <c r="K11" s="13"/>
      <c r="L11" s="13"/>
      <c r="M11" s="13"/>
      <c r="N11" s="11"/>
      <c r="P11" s="46" t="s">
        <v>17</v>
      </c>
      <c r="Q11" s="48"/>
      <c r="R11" s="46" t="str">
        <f t="shared" si="0"/>
        <v/>
      </c>
    </row>
    <row r="12" spans="2:18" ht="16.5">
      <c r="B12" s="7"/>
      <c r="C12" s="14" t="s">
        <v>41</v>
      </c>
      <c r="D12" s="58"/>
      <c r="E12" s="58"/>
      <c r="F12" s="58"/>
      <c r="G12" s="58"/>
      <c r="H12" s="13"/>
      <c r="I12" s="10"/>
      <c r="J12" s="10"/>
      <c r="K12" s="59"/>
      <c r="L12" s="59"/>
      <c r="M12" s="59"/>
      <c r="N12" s="11"/>
      <c r="P12" s="46" t="s">
        <v>18</v>
      </c>
      <c r="Q12" s="48"/>
      <c r="R12" s="46" t="str">
        <f t="shared" si="0"/>
        <v/>
      </c>
    </row>
    <row r="13" spans="2:18" ht="16.5">
      <c r="B13" s="7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1"/>
      <c r="P13" s="46" t="s">
        <v>19</v>
      </c>
      <c r="Q13" s="48"/>
      <c r="R13" s="46" t="str">
        <f t="shared" si="0"/>
        <v/>
      </c>
    </row>
    <row r="14" spans="2:18" ht="16.5">
      <c r="B14" s="7"/>
      <c r="C14" s="51" t="s">
        <v>101</v>
      </c>
      <c r="D14" s="15"/>
      <c r="E14" s="13"/>
      <c r="F14" s="13"/>
      <c r="G14" s="13"/>
      <c r="H14" s="13"/>
      <c r="I14" s="13"/>
      <c r="J14" s="13"/>
      <c r="K14" s="13"/>
      <c r="L14" s="13"/>
      <c r="M14" s="13"/>
      <c r="N14" s="11"/>
      <c r="P14" s="46" t="s">
        <v>20</v>
      </c>
      <c r="Q14" s="48"/>
      <c r="R14" s="46" t="str">
        <f t="shared" si="0"/>
        <v/>
      </c>
    </row>
    <row r="15" spans="2:18" ht="16.5" customHeight="1">
      <c r="B15" s="7"/>
      <c r="C15" s="61" t="str">
        <f>R3&amp;" "&amp;R4&amp;" "&amp;R5&amp;" "&amp;R6&amp;" "&amp;R7&amp;" "&amp;R8&amp;" "&amp;R9&amp;" "&amp;R10&amp;" "&amp;R11&amp;" "&amp;R12&amp;" "&amp;R13&amp;" "&amp;R14</f>
        <v xml:space="preserve">           </v>
      </c>
      <c r="D15" s="62"/>
      <c r="E15" s="62"/>
      <c r="F15" s="62"/>
      <c r="G15" s="62"/>
      <c r="H15" s="62"/>
      <c r="I15" s="62"/>
      <c r="J15" s="62"/>
      <c r="K15" s="62"/>
      <c r="L15" s="62"/>
      <c r="M15" s="63"/>
      <c r="N15" s="11"/>
    </row>
    <row r="16" spans="2:18" ht="16.5" customHeight="1">
      <c r="B16" s="7"/>
      <c r="C16" s="64"/>
      <c r="D16" s="65"/>
      <c r="E16" s="65"/>
      <c r="F16" s="65"/>
      <c r="G16" s="65"/>
      <c r="H16" s="65"/>
      <c r="I16" s="65"/>
      <c r="J16" s="65"/>
      <c r="K16" s="65"/>
      <c r="L16" s="65"/>
      <c r="M16" s="66"/>
      <c r="N16" s="11"/>
    </row>
    <row r="17" spans="2:14" ht="16.5">
      <c r="B17" s="7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1"/>
    </row>
    <row r="18" spans="2:14" ht="16.5">
      <c r="B18" s="7"/>
      <c r="C18" s="13"/>
      <c r="D18" s="13"/>
      <c r="E18" s="13"/>
      <c r="F18" s="13"/>
      <c r="G18" s="13"/>
      <c r="H18" s="13"/>
      <c r="I18" s="13"/>
      <c r="J18" s="13"/>
      <c r="K18" s="60">
        <f ca="1">TODAY()</f>
        <v>44258</v>
      </c>
      <c r="L18" s="60"/>
      <c r="M18" s="60"/>
      <c r="N18" s="11"/>
    </row>
    <row r="19" spans="2:14" ht="16.5">
      <c r="B19" s="7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1"/>
    </row>
    <row r="20" spans="2:14" ht="16.5">
      <c r="B20" s="7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1"/>
    </row>
    <row r="21" spans="2:14" ht="16.5">
      <c r="B21" s="7"/>
      <c r="C21" s="13"/>
      <c r="D21" s="13"/>
      <c r="E21" s="13"/>
      <c r="F21" s="13"/>
      <c r="G21" s="13"/>
      <c r="H21" s="13"/>
      <c r="I21" s="13"/>
      <c r="J21" s="13"/>
      <c r="K21" s="52" t="s">
        <v>42</v>
      </c>
      <c r="L21" s="52"/>
      <c r="M21" s="52"/>
      <c r="N21" s="11"/>
    </row>
    <row r="22" spans="2:14" ht="15.75" thickBot="1">
      <c r="B22" s="16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8"/>
    </row>
  </sheetData>
  <mergeCells count="21">
    <mergeCell ref="C3:M3"/>
    <mergeCell ref="C4:M4"/>
    <mergeCell ref="C5:M5"/>
    <mergeCell ref="D7:E7"/>
    <mergeCell ref="F7:G7"/>
    <mergeCell ref="H7:I7"/>
    <mergeCell ref="J7:K7"/>
    <mergeCell ref="L7:M7"/>
    <mergeCell ref="K21:M21"/>
    <mergeCell ref="D9:G9"/>
    <mergeCell ref="I9:J9"/>
    <mergeCell ref="K9:M9"/>
    <mergeCell ref="D10:G10"/>
    <mergeCell ref="I10:J10"/>
    <mergeCell ref="K10:M10"/>
    <mergeCell ref="D11:G11"/>
    <mergeCell ref="I11:J11"/>
    <mergeCell ref="D12:G12"/>
    <mergeCell ref="K12:M12"/>
    <mergeCell ref="K18:M18"/>
    <mergeCell ref="C15:M16"/>
  </mergeCells>
  <pageMargins left="0.7" right="0.7" top="0.75" bottom="0.75" header="0.3" footer="0.3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DASHBOARD</vt:lpstr>
      <vt:lpstr>DATABAYAR</vt:lpstr>
      <vt:lpstr>PEMBAYARAN</vt:lpstr>
      <vt:lpstr>KWITANSI</vt:lpstr>
      <vt:lpstr>DATABAYAR!Criteria</vt:lpstr>
      <vt:lpstr>PEMBAYARAN!Criteria</vt:lpstr>
      <vt:lpstr>DATABAYAR!Extract</vt:lpstr>
      <vt:lpstr>PEMBAYARAN!Extract</vt:lpstr>
      <vt:lpstr>KWITANSI!Print_Area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ERWIN SUHARIYANTO</dc:creator>
  <cp:lastModifiedBy>User</cp:lastModifiedBy>
  <cp:lastPrinted>2020-11-13T12:42:49Z</cp:lastPrinted>
  <dcterms:created xsi:type="dcterms:W3CDTF">2020-05-16T10:43:30Z</dcterms:created>
  <dcterms:modified xsi:type="dcterms:W3CDTF">2021-03-03T01:30:08Z</dcterms:modified>
</cp:coreProperties>
</file>